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F08D4D8E-5D95-4AE1-A29F-66055179EF2B}" xr6:coauthVersionLast="47" xr6:coauthVersionMax="47" xr10:uidLastSave="{00000000-0000-0000-0000-000000000000}"/>
  <bookViews>
    <workbookView xWindow="-110" yWindow="-110" windowWidth="19420" windowHeight="10560" xr2:uid="{0B1C92D3-A194-416D-8F1A-6A7B8EF54BFD}"/>
  </bookViews>
  <sheets>
    <sheet name="form online nya" sheetId="1" r:id="rId1"/>
  </sheets>
  <definedNames>
    <definedName name="_xlnm.Print_Area" localSheetId="0">'form online nya'!$B$2:$AI$166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5" i="1" l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L39" i="1"/>
  <c r="T39" i="1"/>
  <c r="AB39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AI35" i="1"/>
  <c r="AH45" i="1"/>
  <c r="AG45" i="1"/>
  <c r="AE45" i="1"/>
  <c r="AD45" i="1"/>
  <c r="AB35" i="1"/>
  <c r="AA45" i="1"/>
  <c r="Z45" i="1"/>
  <c r="Y45" i="1"/>
  <c r="W45" i="1"/>
  <c r="V45" i="1"/>
  <c r="T35" i="1"/>
  <c r="S45" i="1"/>
  <c r="R45" i="1"/>
  <c r="Q45" i="1"/>
  <c r="O45" i="1"/>
  <c r="N45" i="1"/>
  <c r="L35" i="1"/>
  <c r="K45" i="1"/>
  <c r="K47" i="1" s="1"/>
  <c r="J45" i="1"/>
  <c r="I45" i="1"/>
  <c r="H45" i="1"/>
  <c r="G45" i="1"/>
  <c r="F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AG31" i="1"/>
  <c r="AF31" i="1"/>
  <c r="AE42" i="1"/>
  <c r="AD31" i="1"/>
  <c r="AB42" i="1"/>
  <c r="AA42" i="1"/>
  <c r="Y31" i="1"/>
  <c r="X31" i="1"/>
  <c r="W42" i="1"/>
  <c r="V31" i="1"/>
  <c r="T42" i="1"/>
  <c r="S42" i="1"/>
  <c r="Q31" i="1"/>
  <c r="P31" i="1"/>
  <c r="O42" i="1"/>
  <c r="N31" i="1"/>
  <c r="L42" i="1"/>
  <c r="K42" i="1"/>
  <c r="I31" i="1"/>
  <c r="H31" i="1"/>
  <c r="G42" i="1"/>
  <c r="F3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AI26" i="1"/>
  <c r="AH26" i="1"/>
  <c r="AF26" i="1"/>
  <c r="X26" i="1"/>
  <c r="P26" i="1"/>
  <c r="H26" i="1"/>
  <c r="AH39" i="1"/>
  <c r="AG39" i="1"/>
  <c r="AD39" i="1"/>
  <c r="AC39" i="1"/>
  <c r="AA26" i="1"/>
  <c r="Z39" i="1"/>
  <c r="Y39" i="1"/>
  <c r="V39" i="1"/>
  <c r="U39" i="1"/>
  <c r="S26" i="1"/>
  <c r="R39" i="1"/>
  <c r="Q39" i="1"/>
  <c r="N39" i="1"/>
  <c r="M39" i="1"/>
  <c r="K26" i="1"/>
  <c r="J39" i="1"/>
  <c r="I39" i="1"/>
  <c r="F39" i="1"/>
  <c r="E39" i="1"/>
  <c r="S47" i="1" l="1"/>
  <c r="J47" i="1"/>
  <c r="G47" i="1"/>
  <c r="O47" i="1"/>
  <c r="W47" i="1"/>
  <c r="AE47" i="1"/>
  <c r="I47" i="1"/>
  <c r="Q47" i="1"/>
  <c r="Y47" i="1"/>
  <c r="AG47" i="1"/>
  <c r="R47" i="1"/>
  <c r="Z47" i="1"/>
  <c r="AH47" i="1"/>
  <c r="J31" i="1"/>
  <c r="R31" i="1"/>
  <c r="Z31" i="1"/>
  <c r="AH31" i="1"/>
  <c r="E35" i="1"/>
  <c r="M35" i="1"/>
  <c r="U35" i="1"/>
  <c r="AC35" i="1"/>
  <c r="AA35" i="1"/>
  <c r="AH42" i="1"/>
  <c r="AI31" i="1"/>
  <c r="E31" i="1"/>
  <c r="M31" i="1"/>
  <c r="U31" i="1"/>
  <c r="AC31" i="1"/>
  <c r="H35" i="1"/>
  <c r="P35" i="1"/>
  <c r="X35" i="1"/>
  <c r="AF35" i="1"/>
  <c r="AE31" i="1"/>
  <c r="G26" i="1"/>
  <c r="O26" i="1"/>
  <c r="W26" i="1"/>
  <c r="AE26" i="1"/>
  <c r="P45" i="1"/>
  <c r="P47" i="1" s="1"/>
  <c r="I26" i="1"/>
  <c r="Q26" i="1"/>
  <c r="Y26" i="1"/>
  <c r="AG26" i="1"/>
  <c r="X45" i="1"/>
  <c r="X47" i="1" s="1"/>
  <c r="AF45" i="1"/>
  <c r="AF47" i="1" s="1"/>
  <c r="L26" i="1"/>
  <c r="T26" i="1"/>
  <c r="AB26" i="1"/>
  <c r="J26" i="1"/>
  <c r="G31" i="1"/>
  <c r="J42" i="1"/>
  <c r="R26" i="1"/>
  <c r="O31" i="1"/>
  <c r="K35" i="1"/>
  <c r="R42" i="1"/>
  <c r="Z26" i="1"/>
  <c r="W31" i="1"/>
  <c r="S35" i="1"/>
  <c r="Z42" i="1"/>
  <c r="H47" i="1"/>
  <c r="F47" i="1"/>
  <c r="N47" i="1"/>
  <c r="V47" i="1"/>
  <c r="AD47" i="1"/>
  <c r="AA47" i="1"/>
  <c r="E26" i="1"/>
  <c r="M26" i="1"/>
  <c r="U26" i="1"/>
  <c r="AC26" i="1"/>
  <c r="F35" i="1"/>
  <c r="N35" i="1"/>
  <c r="V35" i="1"/>
  <c r="AD35" i="1"/>
  <c r="G39" i="1"/>
  <c r="O39" i="1"/>
  <c r="W39" i="1"/>
  <c r="AE39" i="1"/>
  <c r="E42" i="1"/>
  <c r="M42" i="1"/>
  <c r="U42" i="1"/>
  <c r="AC42" i="1"/>
  <c r="F26" i="1"/>
  <c r="N26" i="1"/>
  <c r="V26" i="1"/>
  <c r="AD26" i="1"/>
  <c r="K31" i="1"/>
  <c r="S31" i="1"/>
  <c r="AA31" i="1"/>
  <c r="G35" i="1"/>
  <c r="O35" i="1"/>
  <c r="W35" i="1"/>
  <c r="AE35" i="1"/>
  <c r="H39" i="1"/>
  <c r="P39" i="1"/>
  <c r="X39" i="1"/>
  <c r="AF39" i="1"/>
  <c r="F42" i="1"/>
  <c r="N42" i="1"/>
  <c r="V42" i="1"/>
  <c r="AD42" i="1"/>
  <c r="L45" i="1"/>
  <c r="L47" i="1" s="1"/>
  <c r="T45" i="1"/>
  <c r="T47" i="1" s="1"/>
  <c r="AB45" i="1"/>
  <c r="AB47" i="1" s="1"/>
  <c r="L31" i="1"/>
  <c r="T31" i="1"/>
  <c r="AB31" i="1"/>
  <c r="E45" i="1"/>
  <c r="E47" i="1" s="1"/>
  <c r="M45" i="1"/>
  <c r="M47" i="1" s="1"/>
  <c r="U45" i="1"/>
  <c r="U47" i="1" s="1"/>
  <c r="AC45" i="1"/>
  <c r="AC47" i="1" s="1"/>
  <c r="I35" i="1"/>
  <c r="Q35" i="1"/>
  <c r="Y35" i="1"/>
  <c r="AG35" i="1"/>
  <c r="H42" i="1"/>
  <c r="P42" i="1"/>
  <c r="X42" i="1"/>
  <c r="AF42" i="1"/>
  <c r="J35" i="1"/>
  <c r="R35" i="1"/>
  <c r="Z35" i="1"/>
  <c r="AH35" i="1"/>
  <c r="K39" i="1"/>
  <c r="S39" i="1"/>
  <c r="AA39" i="1"/>
  <c r="I42" i="1"/>
  <c r="Q42" i="1"/>
  <c r="Y42" i="1"/>
  <c r="AG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Miko</author>
  </authors>
  <commentList>
    <comment ref="D9" authorId="0" shapeId="0" xr:uid="{A6FC13C2-74FD-41DE-8651-375FA011AF42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STEP 3 TO EQUAL 1</t>
        </r>
      </text>
    </comment>
    <comment ref="D10" authorId="0" shapeId="0" xr:uid="{E6570C68-3FAE-4815-A8DD-CAA7AD94E06F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SPARTA</t>
        </r>
      </text>
    </comment>
    <comment ref="D11" authorId="0" shapeId="0" xr:uid="{3F80A0BB-FC65-4445-B2DF-D802DB0AC4BF}">
      <text>
        <r>
          <rPr>
            <b/>
            <sz val="9"/>
            <rFont val="Times New Roman"/>
          </rPr>
          <t>Miko:</t>
        </r>
        <r>
          <rPr>
            <sz val="9"/>
            <rFont val="Times New Roman"/>
          </rPr>
          <t xml:space="preserve">
PIT GARAM</t>
        </r>
      </text>
    </comment>
  </commentList>
</comments>
</file>

<file path=xl/sharedStrings.xml><?xml version="1.0" encoding="utf-8"?>
<sst xmlns="http://schemas.openxmlformats.org/spreadsheetml/2006/main" count="182" uniqueCount="76">
  <si>
    <t>TAHUN : 2026
BULAN : MEI</t>
  </si>
  <si>
    <t>Tanggal</t>
  </si>
  <si>
    <t>Debit Proses (m3/jam)</t>
  </si>
  <si>
    <t>Debit Pengolahan Step 1</t>
  </si>
  <si>
    <t>Debit Pengolahan Step 2</t>
  </si>
  <si>
    <t>Debit Transfer (m3/hari)</t>
  </si>
  <si>
    <t>Outlet</t>
  </si>
  <si>
    <t>Transfer Produksi 1</t>
  </si>
  <si>
    <t>Transfer Produksi 2</t>
  </si>
  <si>
    <t>Debit Air Bersih</t>
  </si>
  <si>
    <t>Debit Boiler</t>
  </si>
  <si>
    <t>Debit Domestik</t>
  </si>
  <si>
    <t>Pit Storage</t>
  </si>
  <si>
    <t>ml/menit</t>
  </si>
  <si>
    <t>PAC (Step 1)</t>
  </si>
  <si>
    <t>PAC (Step 2)</t>
  </si>
  <si>
    <t>BE 100</t>
  </si>
  <si>
    <t>C 204</t>
  </si>
  <si>
    <t>C 9040 (Step 1)</t>
  </si>
  <si>
    <t>C 9040 (Step 2)</t>
  </si>
  <si>
    <t>Denfloc 260 PA</t>
  </si>
  <si>
    <t>NaOH step 1</t>
  </si>
  <si>
    <t>NaOH step 2</t>
  </si>
  <si>
    <t>kg/hari</t>
  </si>
  <si>
    <t>Total PAC</t>
  </si>
  <si>
    <t>Total C9040</t>
  </si>
  <si>
    <t>Total NaOH</t>
  </si>
  <si>
    <t>Denfloc 945 PC</t>
  </si>
  <si>
    <t xml:space="preserve">Enzim </t>
  </si>
  <si>
    <t>NPK 16-16-16</t>
  </si>
  <si>
    <t>biaya</t>
  </si>
  <si>
    <t>PAC</t>
  </si>
  <si>
    <t>C 9040 PROSES</t>
  </si>
  <si>
    <t>C 9040 LUMPUR</t>
  </si>
  <si>
    <t>Analisa COD (ppm)</t>
  </si>
  <si>
    <t>Equalisasi-1 (Influent)</t>
  </si>
  <si>
    <t>Outlet DAF</t>
  </si>
  <si>
    <t>Equalisasi 2</t>
  </si>
  <si>
    <t>Inlet Anaerob</t>
  </si>
  <si>
    <t>Outlet Anaerob</t>
  </si>
  <si>
    <t>Aerasi-1</t>
  </si>
  <si>
    <t>Aerasi-2</t>
  </si>
  <si>
    <t>Aerasi-3</t>
  </si>
  <si>
    <t>Aerasi-4</t>
  </si>
  <si>
    <t>Aerasi-5</t>
  </si>
  <si>
    <t>Lumpur Aktif</t>
  </si>
  <si>
    <t>Clarifier-1</t>
  </si>
  <si>
    <t>Clarifier-2</t>
  </si>
  <si>
    <t>Sedimen-1</t>
  </si>
  <si>
    <t>Filtrat SCP</t>
  </si>
  <si>
    <t>Outlet Sand Filter</t>
  </si>
  <si>
    <t>Pit Outlet (Effluent)</t>
  </si>
  <si>
    <t>Analisa TSS (ppm)</t>
  </si>
  <si>
    <t>Analisa pH</t>
  </si>
  <si>
    <t>Analisa EC (μS/cm)</t>
  </si>
  <si>
    <t>Analisis Lumpur Aktif</t>
  </si>
  <si>
    <t>SV30 (mL/L)</t>
  </si>
  <si>
    <t>MLSS (mg/L)</t>
  </si>
  <si>
    <t>SVI (mL/g)</t>
  </si>
  <si>
    <t>F/M Ratio</t>
  </si>
  <si>
    <t>analisa slurry</t>
  </si>
  <si>
    <t>Netralisasi</t>
  </si>
  <si>
    <t>Sedimen-2</t>
  </si>
  <si>
    <t>Anaerob</t>
  </si>
  <si>
    <t>RAS Aerasi</t>
  </si>
  <si>
    <t>RAS Lumpur Aktif</t>
  </si>
  <si>
    <t>Analisa Sludge Screwpress</t>
  </si>
  <si>
    <t>Total Drain Slurry</t>
  </si>
  <si>
    <t>RH Screwpress</t>
  </si>
  <si>
    <t>Sludge Content (%)</t>
  </si>
  <si>
    <t>Efficiency COD Removal (%)</t>
  </si>
  <si>
    <t>Aerob</t>
  </si>
  <si>
    <t>Chemical Process</t>
  </si>
  <si>
    <t>All Process</t>
  </si>
  <si>
    <t>Efficiency TSS Removal (%)</t>
  </si>
  <si>
    <t>FRM/EUT/06/000/001-03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</si>
</sst>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 "/>
    <numFmt numFmtId="165" formatCode="_-[$Rp-421]* #,##0_-;\-[$Rp-421]* #,##0_-;_-[$Rp-421]* &quot;-&quot;_-;_-@_-"/>
    <numFmt numFmtId="166" formatCode="0_ "/>
  </numFmts>
  <fonts count="9">
    <font>
      <sz val="10"/>
      <name val="Arial"/>
    </font>
    <font>
      <sz val="10"/>
      <name val="Arial"/>
      <charset val="134"/>
    </font>
    <font>
      <sz val="6"/>
      <name val="Arial"/>
    </font>
    <font>
      <sz val="11"/>
      <color theme="1"/>
      <name val="Calibri"/>
      <charset val="134"/>
      <scheme val="minor"/>
    </font>
    <font>
      <b/>
      <sz val="10"/>
      <name val="Calibri"/>
      <scheme val="minor"/>
    </font>
    <font>
      <sz val="10"/>
      <color rgb="FFFF0000"/>
      <name val="Arial"/>
    </font>
    <font>
      <sz val="11"/>
      <name val="Arial"/>
    </font>
    <font>
      <b/>
      <sz val="9"/>
      <name val="Times New Roman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right" vertical="center" wrapText="1" readingOrder="1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0" fillId="0" borderId="1" xfId="0" applyNumberFormat="1" applyBorder="1">
      <alignment vertical="center"/>
    </xf>
    <xf numFmtId="165" fontId="2" fillId="2" borderId="1" xfId="0" applyNumberFormat="1" applyFont="1" applyFill="1" applyBorder="1">
      <alignment vertical="center"/>
    </xf>
    <xf numFmtId="165" fontId="2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top"/>
    </xf>
    <xf numFmtId="166" fontId="0" fillId="0" borderId="1" xfId="0" applyNumberFormat="1" applyBorder="1">
      <alignment vertical="center"/>
    </xf>
    <xf numFmtId="164" fontId="5" fillId="0" borderId="1" xfId="0" applyNumberFormat="1" applyFont="1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7" xfId="0" applyFont="1" applyBorder="1">
      <alignment vertical="center"/>
    </xf>
    <xf numFmtId="0" fontId="6" fillId="0" borderId="10" xfId="0" applyFont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" xfId="0" applyFont="1" applyBorder="1" applyAlignment="1">
      <alignment horizontal="right" vertical="top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>
      <alignment vertical="center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256540</xdr:colOff>
      <xdr:row>1</xdr:row>
      <xdr:rowOff>38100</xdr:rowOff>
    </xdr:from>
    <xdr:to>
      <xdr:col>3</xdr:col>
      <xdr:colOff>1209040</xdr:colOff>
      <xdr:row>3</xdr:row>
      <xdr:rowOff>104775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A96BA790-6EB8-490B-B1CF-75211A46C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277" t="20137" r="6548" b="19218"/>
        <a:stretch>
          <a:fillRect/>
        </a:stretch>
      </xdr:blipFill>
      <xdr:spPr>
        <a:xfrm>
          <a:off x="897890" y="196850"/>
          <a:ext cx="3048000" cy="384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2929-51F1-48A1-900E-C7CE6F5F1133}">
  <dimension ref="A2:AI176"/>
  <sheetViews>
    <sheetView tabSelected="1" view="pageBreakPreview" zoomScale="97" zoomScaleNormal="70" workbookViewId="0">
      <pane xSplit="4" ySplit="5" topLeftCell="E150" activePane="bottomRight" state="frozen"/>
      <selection pane="topRight"/>
      <selection pane="bottomLeft"/>
      <selection pane="bottomRight" activeCell="H155" sqref="H155"/>
    </sheetView>
  </sheetViews>
  <sheetFormatPr defaultColWidth="9.1796875" defaultRowHeight="12.5"/>
  <cols>
    <col min="1" max="1" width="9.1796875" style="1"/>
    <col min="2" max="2" width="18.453125" style="2" bestFit="1" customWidth="1"/>
    <col min="3" max="3" width="11.54296875" style="2" bestFit="1" customWidth="1"/>
    <col min="4" max="4" width="21.7265625" style="1" bestFit="1" customWidth="1"/>
    <col min="5" max="6" width="6.90625" style="1" bestFit="1" customWidth="1"/>
    <col min="7" max="7" width="7" style="1" bestFit="1" customWidth="1"/>
    <col min="8" max="34" width="6.90625" style="1" bestFit="1" customWidth="1"/>
    <col min="35" max="35" width="4" style="1" bestFit="1" customWidth="1"/>
    <col min="36" max="16384" width="9.1796875" style="1"/>
  </cols>
  <sheetData>
    <row r="2" spans="1:35">
      <c r="B2" s="34"/>
      <c r="C2" s="34"/>
      <c r="D2" s="34"/>
      <c r="E2" s="36"/>
      <c r="F2" s="36"/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9" t="s">
        <v>0</v>
      </c>
      <c r="AF2" s="39"/>
      <c r="AG2" s="39"/>
      <c r="AH2" s="39"/>
      <c r="AI2" s="39"/>
    </row>
    <row r="3" spans="1:35">
      <c r="B3" s="34"/>
      <c r="C3" s="34"/>
      <c r="D3" s="34"/>
      <c r="E3" s="36"/>
      <c r="F3" s="36"/>
      <c r="G3" s="36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40"/>
      <c r="AF3" s="40"/>
      <c r="AG3" s="40"/>
      <c r="AH3" s="40"/>
      <c r="AI3" s="40"/>
    </row>
    <row r="4" spans="1:35" ht="13" thickBot="1">
      <c r="B4" s="35"/>
      <c r="C4" s="35"/>
      <c r="D4" s="35"/>
      <c r="E4" s="36"/>
      <c r="F4" s="36"/>
      <c r="G4" s="36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40"/>
      <c r="AF4" s="40"/>
      <c r="AG4" s="40"/>
      <c r="AH4" s="40"/>
      <c r="AI4" s="40"/>
    </row>
    <row r="5" spans="1:35" ht="13" thickBot="1">
      <c r="A5" s="3"/>
      <c r="B5" s="41" t="s">
        <v>1</v>
      </c>
      <c r="C5" s="42"/>
      <c r="D5" s="43"/>
      <c r="E5" s="1">
        <v>1</v>
      </c>
      <c r="F5" s="1">
        <v>2</v>
      </c>
      <c r="G5" s="4">
        <v>3</v>
      </c>
      <c r="H5" s="5">
        <v>4</v>
      </c>
      <c r="I5" s="5">
        <v>5</v>
      </c>
      <c r="J5" s="5">
        <v>6</v>
      </c>
      <c r="K5" s="5">
        <v>7</v>
      </c>
      <c r="L5" s="5">
        <v>8</v>
      </c>
      <c r="M5" s="5">
        <v>9</v>
      </c>
      <c r="N5" s="5">
        <v>10</v>
      </c>
      <c r="O5" s="5">
        <v>11</v>
      </c>
      <c r="P5" s="5">
        <v>12</v>
      </c>
      <c r="Q5" s="5">
        <v>13</v>
      </c>
      <c r="R5" s="5">
        <v>14</v>
      </c>
      <c r="S5" s="5">
        <v>15</v>
      </c>
      <c r="T5" s="5">
        <v>16</v>
      </c>
      <c r="U5" s="5">
        <v>17</v>
      </c>
      <c r="V5" s="5">
        <v>18</v>
      </c>
      <c r="W5" s="5">
        <v>19</v>
      </c>
      <c r="X5" s="5">
        <v>20</v>
      </c>
      <c r="Y5" s="5">
        <v>21</v>
      </c>
      <c r="Z5" s="5">
        <v>22</v>
      </c>
      <c r="AA5" s="5">
        <v>23</v>
      </c>
      <c r="AB5" s="5">
        <v>24</v>
      </c>
      <c r="AC5" s="5">
        <v>25</v>
      </c>
      <c r="AD5" s="5">
        <v>26</v>
      </c>
      <c r="AE5" s="5">
        <v>27</v>
      </c>
      <c r="AF5" s="5">
        <v>28</v>
      </c>
      <c r="AG5" s="4">
        <v>29</v>
      </c>
      <c r="AH5" s="4">
        <v>30</v>
      </c>
      <c r="AI5" s="4">
        <v>31</v>
      </c>
    </row>
    <row r="6" spans="1:35">
      <c r="B6" s="44" t="s">
        <v>2</v>
      </c>
      <c r="C6" s="44"/>
      <c r="D6" s="6" t="s">
        <v>3</v>
      </c>
      <c r="G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7"/>
      <c r="AD6" s="6"/>
      <c r="AE6" s="6"/>
      <c r="AF6" s="6"/>
      <c r="AG6" s="6"/>
      <c r="AH6" s="6"/>
      <c r="AI6" s="6"/>
    </row>
    <row r="7" spans="1:35">
      <c r="B7" s="34"/>
      <c r="C7" s="34"/>
      <c r="D7" s="1" t="s">
        <v>4</v>
      </c>
      <c r="AC7" s="7"/>
    </row>
    <row r="8" spans="1:35" s="8" customFormat="1">
      <c r="B8" s="34" t="s">
        <v>5</v>
      </c>
      <c r="C8" s="34"/>
      <c r="D8" s="7" t="s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B9" s="34"/>
      <c r="C9" s="34"/>
      <c r="D9" s="7" t="s">
        <v>7</v>
      </c>
      <c r="V9" s="7"/>
      <c r="W9" s="7"/>
      <c r="X9" s="7"/>
      <c r="Y9" s="7"/>
      <c r="Z9" s="7"/>
      <c r="AA9" s="7"/>
      <c r="AB9" s="7"/>
      <c r="AC9" s="7"/>
    </row>
    <row r="10" spans="1:35">
      <c r="B10" s="34"/>
      <c r="C10" s="34"/>
      <c r="D10" s="7" t="s">
        <v>8</v>
      </c>
      <c r="W10" s="9"/>
      <c r="X10" s="9"/>
      <c r="Y10" s="9"/>
      <c r="Z10" s="9"/>
      <c r="AA10" s="9"/>
      <c r="AB10" s="9"/>
      <c r="AC10" s="9"/>
      <c r="AD10" s="9"/>
      <c r="AF10" s="10"/>
      <c r="AG10" s="10"/>
      <c r="AH10" s="10"/>
      <c r="AI10" s="10"/>
    </row>
    <row r="11" spans="1:35">
      <c r="B11" s="34"/>
      <c r="C11" s="34"/>
      <c r="D11" s="7" t="s">
        <v>9</v>
      </c>
      <c r="Y11" s="9"/>
      <c r="Z11" s="9"/>
      <c r="AA11" s="9"/>
      <c r="AB11" s="9"/>
      <c r="AC11" s="9"/>
      <c r="AD11" s="9"/>
    </row>
    <row r="12" spans="1:35">
      <c r="B12" s="34"/>
      <c r="C12" s="34"/>
      <c r="D12" s="7" t="s">
        <v>10</v>
      </c>
    </row>
    <row r="13" spans="1:35">
      <c r="B13" s="34"/>
      <c r="C13" s="34"/>
      <c r="D13" s="7" t="s">
        <v>11</v>
      </c>
      <c r="U13" s="10"/>
      <c r="V13" s="11"/>
      <c r="W13" s="7"/>
      <c r="X13" s="7"/>
      <c r="Y13" s="7"/>
      <c r="Z13" s="7"/>
      <c r="AA13" s="7"/>
      <c r="AB13" s="7"/>
      <c r="AC13" s="7"/>
    </row>
    <row r="14" spans="1:35">
      <c r="B14" s="34"/>
      <c r="C14" s="34"/>
      <c r="D14" s="7" t="s">
        <v>12</v>
      </c>
    </row>
    <row r="15" spans="1:35">
      <c r="B15" s="34" t="s">
        <v>13</v>
      </c>
      <c r="C15" s="34"/>
      <c r="D15" s="1" t="s">
        <v>14</v>
      </c>
      <c r="AC15" s="7"/>
    </row>
    <row r="16" spans="1:35">
      <c r="B16" s="34"/>
      <c r="C16" s="34"/>
      <c r="D16" s="1" t="s">
        <v>15</v>
      </c>
    </row>
    <row r="17" spans="2:35">
      <c r="B17" s="34"/>
      <c r="C17" s="34"/>
      <c r="D17" s="1" t="s">
        <v>16</v>
      </c>
      <c r="AC17" s="7"/>
    </row>
    <row r="18" spans="2:35">
      <c r="B18" s="34"/>
      <c r="C18" s="34"/>
      <c r="D18" s="1" t="s">
        <v>17</v>
      </c>
      <c r="AC18" s="7"/>
    </row>
    <row r="19" spans="2:35">
      <c r="B19" s="34"/>
      <c r="C19" s="34"/>
      <c r="D19" s="1" t="s">
        <v>18</v>
      </c>
      <c r="AC19" s="7"/>
    </row>
    <row r="20" spans="2:35">
      <c r="B20" s="34"/>
      <c r="C20" s="34"/>
      <c r="D20" s="1" t="s">
        <v>19</v>
      </c>
    </row>
    <row r="21" spans="2:35">
      <c r="B21" s="34"/>
      <c r="C21" s="34"/>
      <c r="D21" s="1" t="s">
        <v>20</v>
      </c>
    </row>
    <row r="22" spans="2:35">
      <c r="B22" s="34"/>
      <c r="C22" s="34"/>
      <c r="D22" s="1" t="s">
        <v>21</v>
      </c>
    </row>
    <row r="23" spans="2:35">
      <c r="B23" s="34"/>
      <c r="C23" s="34"/>
      <c r="D23" s="1" t="s">
        <v>22</v>
      </c>
      <c r="U23" s="10"/>
      <c r="V23" s="10"/>
    </row>
    <row r="24" spans="2:35">
      <c r="B24" s="34" t="s">
        <v>23</v>
      </c>
      <c r="C24" s="34"/>
      <c r="D24" s="1" t="s">
        <v>14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2:35">
      <c r="B25" s="34"/>
      <c r="C25" s="34"/>
      <c r="D25" s="1" t="s">
        <v>15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2:35">
      <c r="B26" s="34"/>
      <c r="C26" s="34"/>
      <c r="D26" s="1" t="s">
        <v>24</v>
      </c>
      <c r="E26" s="12">
        <f t="shared" ref="E26:AI26" si="0">SUM(E24:E25)</f>
        <v>0</v>
      </c>
      <c r="F26" s="12">
        <f t="shared" si="0"/>
        <v>0</v>
      </c>
      <c r="G26" s="12">
        <f t="shared" si="0"/>
        <v>0</v>
      </c>
      <c r="H26" s="12">
        <f t="shared" si="0"/>
        <v>0</v>
      </c>
      <c r="I26" s="12">
        <f t="shared" si="0"/>
        <v>0</v>
      </c>
      <c r="J26" s="12">
        <f t="shared" si="0"/>
        <v>0</v>
      </c>
      <c r="K26" s="12">
        <f t="shared" si="0"/>
        <v>0</v>
      </c>
      <c r="L26" s="12">
        <f t="shared" si="0"/>
        <v>0</v>
      </c>
      <c r="M26" s="12">
        <f t="shared" si="0"/>
        <v>0</v>
      </c>
      <c r="N26" s="12">
        <f t="shared" si="0"/>
        <v>0</v>
      </c>
      <c r="O26" s="12">
        <f t="shared" si="0"/>
        <v>0</v>
      </c>
      <c r="P26" s="12">
        <f t="shared" si="0"/>
        <v>0</v>
      </c>
      <c r="Q26" s="12">
        <f t="shared" si="0"/>
        <v>0</v>
      </c>
      <c r="R26" s="12">
        <f t="shared" si="0"/>
        <v>0</v>
      </c>
      <c r="S26" s="12">
        <f t="shared" si="0"/>
        <v>0</v>
      </c>
      <c r="T26" s="12">
        <f t="shared" si="0"/>
        <v>0</v>
      </c>
      <c r="U26" s="12">
        <f t="shared" si="0"/>
        <v>0</v>
      </c>
      <c r="V26" s="12">
        <f t="shared" si="0"/>
        <v>0</v>
      </c>
      <c r="W26" s="12">
        <f t="shared" si="0"/>
        <v>0</v>
      </c>
      <c r="X26" s="12">
        <f t="shared" si="0"/>
        <v>0</v>
      </c>
      <c r="Y26" s="12">
        <f t="shared" si="0"/>
        <v>0</v>
      </c>
      <c r="Z26" s="12">
        <f t="shared" si="0"/>
        <v>0</v>
      </c>
      <c r="AA26" s="12">
        <f t="shared" si="0"/>
        <v>0</v>
      </c>
      <c r="AB26" s="12">
        <f t="shared" si="0"/>
        <v>0</v>
      </c>
      <c r="AC26" s="12">
        <f t="shared" si="0"/>
        <v>0</v>
      </c>
      <c r="AD26" s="12">
        <f t="shared" si="0"/>
        <v>0</v>
      </c>
      <c r="AE26" s="12">
        <f t="shared" si="0"/>
        <v>0</v>
      </c>
      <c r="AF26" s="12">
        <f t="shared" si="0"/>
        <v>0</v>
      </c>
      <c r="AG26" s="12">
        <f t="shared" si="0"/>
        <v>0</v>
      </c>
      <c r="AH26" s="12">
        <f t="shared" si="0"/>
        <v>0</v>
      </c>
      <c r="AI26" s="12">
        <f t="shared" si="0"/>
        <v>0</v>
      </c>
    </row>
    <row r="27" spans="2:35">
      <c r="B27" s="34"/>
      <c r="C27" s="34"/>
      <c r="D27" s="1" t="s">
        <v>16</v>
      </c>
    </row>
    <row r="28" spans="2:35">
      <c r="B28" s="34"/>
      <c r="C28" s="34"/>
      <c r="D28" s="1" t="s">
        <v>17</v>
      </c>
    </row>
    <row r="29" spans="2:35">
      <c r="B29" s="34"/>
      <c r="C29" s="34"/>
      <c r="D29" s="1" t="s">
        <v>18</v>
      </c>
    </row>
    <row r="30" spans="2:35">
      <c r="B30" s="34"/>
      <c r="C30" s="34"/>
      <c r="D30" s="1" t="s">
        <v>19</v>
      </c>
    </row>
    <row r="31" spans="2:35">
      <c r="B31" s="34"/>
      <c r="C31" s="34"/>
      <c r="D31" s="1" t="s">
        <v>25</v>
      </c>
      <c r="E31" s="1">
        <f t="shared" ref="E31:AI31" si="1">SUM(E29:E30)</f>
        <v>0</v>
      </c>
      <c r="F31" s="1">
        <f t="shared" si="1"/>
        <v>0</v>
      </c>
      <c r="G31" s="1">
        <f t="shared" si="1"/>
        <v>0</v>
      </c>
      <c r="H31" s="1">
        <f t="shared" si="1"/>
        <v>0</v>
      </c>
      <c r="I31" s="1">
        <f t="shared" si="1"/>
        <v>0</v>
      </c>
      <c r="J31" s="1">
        <f t="shared" si="1"/>
        <v>0</v>
      </c>
      <c r="K31" s="1">
        <f t="shared" si="1"/>
        <v>0</v>
      </c>
      <c r="L31" s="1">
        <f t="shared" si="1"/>
        <v>0</v>
      </c>
      <c r="M31" s="1">
        <f t="shared" si="1"/>
        <v>0</v>
      </c>
      <c r="N31" s="1">
        <f t="shared" si="1"/>
        <v>0</v>
      </c>
      <c r="O31" s="1">
        <f t="shared" si="1"/>
        <v>0</v>
      </c>
      <c r="P31" s="1">
        <f t="shared" si="1"/>
        <v>0</v>
      </c>
      <c r="Q31" s="1">
        <f t="shared" si="1"/>
        <v>0</v>
      </c>
      <c r="R31" s="1">
        <f t="shared" si="1"/>
        <v>0</v>
      </c>
      <c r="S31" s="1">
        <f t="shared" si="1"/>
        <v>0</v>
      </c>
      <c r="T31" s="1">
        <f t="shared" si="1"/>
        <v>0</v>
      </c>
      <c r="U31" s="1">
        <f t="shared" si="1"/>
        <v>0</v>
      </c>
      <c r="V31" s="1">
        <f t="shared" si="1"/>
        <v>0</v>
      </c>
      <c r="W31" s="1">
        <f t="shared" si="1"/>
        <v>0</v>
      </c>
      <c r="X31" s="1">
        <f t="shared" si="1"/>
        <v>0</v>
      </c>
      <c r="Y31" s="1">
        <f t="shared" si="1"/>
        <v>0</v>
      </c>
      <c r="Z31" s="1">
        <f t="shared" si="1"/>
        <v>0</v>
      </c>
      <c r="AA31" s="1">
        <f t="shared" si="1"/>
        <v>0</v>
      </c>
      <c r="AB31" s="1">
        <f t="shared" si="1"/>
        <v>0</v>
      </c>
      <c r="AC31" s="1">
        <f t="shared" si="1"/>
        <v>0</v>
      </c>
      <c r="AD31" s="1">
        <f t="shared" si="1"/>
        <v>0</v>
      </c>
      <c r="AE31" s="1">
        <f t="shared" si="1"/>
        <v>0</v>
      </c>
      <c r="AF31" s="1">
        <f t="shared" si="1"/>
        <v>0</v>
      </c>
      <c r="AG31" s="1">
        <f t="shared" si="1"/>
        <v>0</v>
      </c>
      <c r="AH31" s="1">
        <f t="shared" si="1"/>
        <v>0</v>
      </c>
      <c r="AI31" s="1">
        <f t="shared" si="1"/>
        <v>0</v>
      </c>
    </row>
    <row r="32" spans="2:35">
      <c r="B32" s="34"/>
      <c r="C32" s="34"/>
      <c r="D32" s="1" t="s">
        <v>20</v>
      </c>
    </row>
    <row r="33" spans="2:35">
      <c r="B33" s="34"/>
      <c r="C33" s="34"/>
      <c r="D33" s="1" t="s">
        <v>21</v>
      </c>
    </row>
    <row r="34" spans="2:35">
      <c r="B34" s="34"/>
      <c r="C34" s="34"/>
      <c r="D34" s="1" t="s">
        <v>22</v>
      </c>
    </row>
    <row r="35" spans="2:35">
      <c r="B35" s="34"/>
      <c r="C35" s="34"/>
      <c r="D35" s="1" t="s">
        <v>26</v>
      </c>
      <c r="E35" s="1">
        <f t="shared" ref="E35:K35" si="2">SUM(E33:E34)</f>
        <v>0</v>
      </c>
      <c r="F35" s="1">
        <f t="shared" si="2"/>
        <v>0</v>
      </c>
      <c r="G35" s="1">
        <f t="shared" si="2"/>
        <v>0</v>
      </c>
      <c r="H35" s="1">
        <f t="shared" si="2"/>
        <v>0</v>
      </c>
      <c r="I35" s="1">
        <f t="shared" si="2"/>
        <v>0</v>
      </c>
      <c r="J35" s="1">
        <f t="shared" si="2"/>
        <v>0</v>
      </c>
      <c r="K35" s="1">
        <f t="shared" si="2"/>
        <v>0</v>
      </c>
      <c r="L35" s="1">
        <f t="shared" ref="L35:AI35" si="3">SUM(L33:L34)</f>
        <v>0</v>
      </c>
      <c r="M35" s="1">
        <f t="shared" si="3"/>
        <v>0</v>
      </c>
      <c r="N35" s="1">
        <f t="shared" si="3"/>
        <v>0</v>
      </c>
      <c r="O35" s="1">
        <f t="shared" si="3"/>
        <v>0</v>
      </c>
      <c r="P35" s="1">
        <f t="shared" si="3"/>
        <v>0</v>
      </c>
      <c r="Q35" s="1">
        <f t="shared" si="3"/>
        <v>0</v>
      </c>
      <c r="R35" s="1">
        <f t="shared" si="3"/>
        <v>0</v>
      </c>
      <c r="S35" s="1">
        <f t="shared" si="3"/>
        <v>0</v>
      </c>
      <c r="T35" s="1">
        <f t="shared" si="3"/>
        <v>0</v>
      </c>
      <c r="U35" s="1">
        <f t="shared" si="3"/>
        <v>0</v>
      </c>
      <c r="V35" s="1">
        <f t="shared" si="3"/>
        <v>0</v>
      </c>
      <c r="W35" s="1">
        <f t="shared" si="3"/>
        <v>0</v>
      </c>
      <c r="X35" s="1">
        <f t="shared" si="3"/>
        <v>0</v>
      </c>
      <c r="Y35" s="1">
        <f t="shared" si="3"/>
        <v>0</v>
      </c>
      <c r="Z35" s="1">
        <f t="shared" si="3"/>
        <v>0</v>
      </c>
      <c r="AA35" s="1">
        <f t="shared" si="3"/>
        <v>0</v>
      </c>
      <c r="AB35" s="1">
        <f t="shared" si="3"/>
        <v>0</v>
      </c>
      <c r="AC35" s="1">
        <f t="shared" si="3"/>
        <v>0</v>
      </c>
      <c r="AD35" s="1">
        <f t="shared" si="3"/>
        <v>0</v>
      </c>
      <c r="AE35" s="1">
        <f t="shared" si="3"/>
        <v>0</v>
      </c>
      <c r="AF35" s="1">
        <f t="shared" si="3"/>
        <v>0</v>
      </c>
      <c r="AG35" s="1">
        <f t="shared" si="3"/>
        <v>0</v>
      </c>
      <c r="AH35" s="1">
        <f t="shared" si="3"/>
        <v>0</v>
      </c>
      <c r="AI35" s="1">
        <f t="shared" si="3"/>
        <v>0</v>
      </c>
    </row>
    <row r="36" spans="2:35">
      <c r="B36" s="34"/>
      <c r="C36" s="34"/>
      <c r="D36" s="1" t="s">
        <v>27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C36" s="7"/>
      <c r="AD36" s="7"/>
      <c r="AE36" s="7"/>
      <c r="AF36" s="7"/>
      <c r="AG36" s="7"/>
      <c r="AH36" s="7"/>
      <c r="AI36" s="7"/>
    </row>
    <row r="37" spans="2:35">
      <c r="B37" s="34"/>
      <c r="C37" s="34"/>
      <c r="D37" s="1" t="s">
        <v>28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2:35">
      <c r="B38" s="34"/>
      <c r="C38" s="34"/>
      <c r="D38" s="1" t="s">
        <v>29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2:35">
      <c r="B39" s="34" t="s">
        <v>30</v>
      </c>
      <c r="C39" s="34"/>
      <c r="D39" s="1" t="s">
        <v>31</v>
      </c>
      <c r="E39" s="13">
        <f t="shared" ref="E39:AH39" si="4">E24*8400</f>
        <v>0</v>
      </c>
      <c r="F39" s="13">
        <f t="shared" si="4"/>
        <v>0</v>
      </c>
      <c r="G39" s="13">
        <f t="shared" si="4"/>
        <v>0</v>
      </c>
      <c r="H39" s="13">
        <f t="shared" si="4"/>
        <v>0</v>
      </c>
      <c r="I39" s="13">
        <f t="shared" si="4"/>
        <v>0</v>
      </c>
      <c r="J39" s="13">
        <f t="shared" si="4"/>
        <v>0</v>
      </c>
      <c r="K39" s="13">
        <f t="shared" si="4"/>
        <v>0</v>
      </c>
      <c r="L39" s="13">
        <f t="shared" si="4"/>
        <v>0</v>
      </c>
      <c r="M39" s="13">
        <f t="shared" si="4"/>
        <v>0</v>
      </c>
      <c r="N39" s="13">
        <f t="shared" si="4"/>
        <v>0</v>
      </c>
      <c r="O39" s="13">
        <f t="shared" si="4"/>
        <v>0</v>
      </c>
      <c r="P39" s="13">
        <f t="shared" si="4"/>
        <v>0</v>
      </c>
      <c r="Q39" s="13">
        <f t="shared" si="4"/>
        <v>0</v>
      </c>
      <c r="R39" s="13">
        <f t="shared" si="4"/>
        <v>0</v>
      </c>
      <c r="S39" s="13">
        <f t="shared" si="4"/>
        <v>0</v>
      </c>
      <c r="T39" s="13">
        <f t="shared" si="4"/>
        <v>0</v>
      </c>
      <c r="U39" s="13">
        <f t="shared" si="4"/>
        <v>0</v>
      </c>
      <c r="V39" s="13">
        <f t="shared" si="4"/>
        <v>0</v>
      </c>
      <c r="W39" s="13">
        <f t="shared" si="4"/>
        <v>0</v>
      </c>
      <c r="X39" s="13">
        <f t="shared" si="4"/>
        <v>0</v>
      </c>
      <c r="Y39" s="13">
        <f t="shared" si="4"/>
        <v>0</v>
      </c>
      <c r="Z39" s="13">
        <f t="shared" si="4"/>
        <v>0</v>
      </c>
      <c r="AA39" s="13">
        <f t="shared" si="4"/>
        <v>0</v>
      </c>
      <c r="AB39" s="13">
        <f t="shared" si="4"/>
        <v>0</v>
      </c>
      <c r="AC39" s="13">
        <f t="shared" si="4"/>
        <v>0</v>
      </c>
      <c r="AD39" s="13">
        <f t="shared" si="4"/>
        <v>0</v>
      </c>
      <c r="AE39" s="13">
        <f t="shared" si="4"/>
        <v>0</v>
      </c>
      <c r="AF39" s="13">
        <f t="shared" si="4"/>
        <v>0</v>
      </c>
      <c r="AG39" s="13">
        <f t="shared" si="4"/>
        <v>0</v>
      </c>
      <c r="AH39" s="13">
        <f t="shared" si="4"/>
        <v>0</v>
      </c>
      <c r="AI39" s="14"/>
    </row>
    <row r="40" spans="2:35">
      <c r="B40" s="34"/>
      <c r="C40" s="34"/>
      <c r="D40" s="1" t="s">
        <v>16</v>
      </c>
      <c r="E40" s="13">
        <f>E27*7000</f>
        <v>0</v>
      </c>
      <c r="F40" s="13">
        <f>F27*7000</f>
        <v>0</v>
      </c>
      <c r="G40" s="13">
        <f t="shared" ref="G40:AH40" si="5">G27*7000</f>
        <v>0</v>
      </c>
      <c r="H40" s="13">
        <f t="shared" si="5"/>
        <v>0</v>
      </c>
      <c r="I40" s="13">
        <f t="shared" si="5"/>
        <v>0</v>
      </c>
      <c r="J40" s="13">
        <f t="shared" si="5"/>
        <v>0</v>
      </c>
      <c r="K40" s="13">
        <f t="shared" si="5"/>
        <v>0</v>
      </c>
      <c r="L40" s="13">
        <f t="shared" si="5"/>
        <v>0</v>
      </c>
      <c r="M40" s="13">
        <f t="shared" si="5"/>
        <v>0</v>
      </c>
      <c r="N40" s="13">
        <f t="shared" si="5"/>
        <v>0</v>
      </c>
      <c r="O40" s="13">
        <f t="shared" si="5"/>
        <v>0</v>
      </c>
      <c r="P40" s="13">
        <f t="shared" si="5"/>
        <v>0</v>
      </c>
      <c r="Q40" s="13">
        <f t="shared" si="5"/>
        <v>0</v>
      </c>
      <c r="R40" s="13">
        <f t="shared" si="5"/>
        <v>0</v>
      </c>
      <c r="S40" s="13">
        <f t="shared" si="5"/>
        <v>0</v>
      </c>
      <c r="T40" s="13">
        <f t="shared" si="5"/>
        <v>0</v>
      </c>
      <c r="U40" s="13">
        <f t="shared" si="5"/>
        <v>0</v>
      </c>
      <c r="V40" s="13">
        <f t="shared" si="5"/>
        <v>0</v>
      </c>
      <c r="W40" s="13">
        <f t="shared" si="5"/>
        <v>0</v>
      </c>
      <c r="X40" s="13">
        <f t="shared" si="5"/>
        <v>0</v>
      </c>
      <c r="Y40" s="13">
        <f t="shared" si="5"/>
        <v>0</v>
      </c>
      <c r="Z40" s="13">
        <f t="shared" si="5"/>
        <v>0</v>
      </c>
      <c r="AA40" s="13">
        <f t="shared" si="5"/>
        <v>0</v>
      </c>
      <c r="AB40" s="13">
        <f t="shared" si="5"/>
        <v>0</v>
      </c>
      <c r="AC40" s="13">
        <f t="shared" si="5"/>
        <v>0</v>
      </c>
      <c r="AD40" s="13">
        <f t="shared" si="5"/>
        <v>0</v>
      </c>
      <c r="AE40" s="13">
        <f t="shared" si="5"/>
        <v>0</v>
      </c>
      <c r="AF40" s="13">
        <f t="shared" si="5"/>
        <v>0</v>
      </c>
      <c r="AG40" s="13">
        <f t="shared" si="5"/>
        <v>0</v>
      </c>
      <c r="AH40" s="13">
        <f t="shared" si="5"/>
        <v>0</v>
      </c>
      <c r="AI40" s="14"/>
    </row>
    <row r="41" spans="2:35">
      <c r="B41" s="34"/>
      <c r="C41" s="34"/>
      <c r="D41" s="1" t="s">
        <v>17</v>
      </c>
      <c r="E41" s="13">
        <f>E28*35000</f>
        <v>0</v>
      </c>
      <c r="F41" s="13">
        <f>F28*35000</f>
        <v>0</v>
      </c>
      <c r="G41" s="13">
        <f t="shared" ref="G41:AH41" si="6">G28*35000</f>
        <v>0</v>
      </c>
      <c r="H41" s="13">
        <f t="shared" si="6"/>
        <v>0</v>
      </c>
      <c r="I41" s="13">
        <f t="shared" si="6"/>
        <v>0</v>
      </c>
      <c r="J41" s="13">
        <f t="shared" si="6"/>
        <v>0</v>
      </c>
      <c r="K41" s="13">
        <f t="shared" si="6"/>
        <v>0</v>
      </c>
      <c r="L41" s="13">
        <f t="shared" si="6"/>
        <v>0</v>
      </c>
      <c r="M41" s="13">
        <f t="shared" si="6"/>
        <v>0</v>
      </c>
      <c r="N41" s="13">
        <f t="shared" si="6"/>
        <v>0</v>
      </c>
      <c r="O41" s="13">
        <f t="shared" si="6"/>
        <v>0</v>
      </c>
      <c r="P41" s="13">
        <f t="shared" si="6"/>
        <v>0</v>
      </c>
      <c r="Q41" s="13">
        <f t="shared" si="6"/>
        <v>0</v>
      </c>
      <c r="R41" s="13">
        <f t="shared" si="6"/>
        <v>0</v>
      </c>
      <c r="S41" s="13">
        <f t="shared" si="6"/>
        <v>0</v>
      </c>
      <c r="T41" s="13">
        <f t="shared" si="6"/>
        <v>0</v>
      </c>
      <c r="U41" s="13">
        <f t="shared" si="6"/>
        <v>0</v>
      </c>
      <c r="V41" s="13">
        <f t="shared" si="6"/>
        <v>0</v>
      </c>
      <c r="W41" s="13">
        <f t="shared" si="6"/>
        <v>0</v>
      </c>
      <c r="X41" s="13">
        <f t="shared" si="6"/>
        <v>0</v>
      </c>
      <c r="Y41" s="13">
        <f t="shared" si="6"/>
        <v>0</v>
      </c>
      <c r="Z41" s="13">
        <f t="shared" si="6"/>
        <v>0</v>
      </c>
      <c r="AA41" s="13">
        <f t="shared" si="6"/>
        <v>0</v>
      </c>
      <c r="AB41" s="13">
        <f t="shared" si="6"/>
        <v>0</v>
      </c>
      <c r="AC41" s="13">
        <f t="shared" si="6"/>
        <v>0</v>
      </c>
      <c r="AD41" s="13">
        <f t="shared" si="6"/>
        <v>0</v>
      </c>
      <c r="AE41" s="13">
        <f t="shared" si="6"/>
        <v>0</v>
      </c>
      <c r="AF41" s="13">
        <f t="shared" si="6"/>
        <v>0</v>
      </c>
      <c r="AG41" s="13">
        <f t="shared" si="6"/>
        <v>0</v>
      </c>
      <c r="AH41" s="13">
        <f t="shared" si="6"/>
        <v>0</v>
      </c>
      <c r="AI41" s="14"/>
    </row>
    <row r="42" spans="2:35">
      <c r="B42" s="34"/>
      <c r="C42" s="34"/>
      <c r="D42" s="1" t="s">
        <v>32</v>
      </c>
      <c r="E42" s="13">
        <f>E29*62000</f>
        <v>0</v>
      </c>
      <c r="F42" s="13">
        <f>F29*62000</f>
        <v>0</v>
      </c>
      <c r="G42" s="13">
        <f t="shared" ref="G42:AH43" si="7">G29*62000</f>
        <v>0</v>
      </c>
      <c r="H42" s="13">
        <f t="shared" si="7"/>
        <v>0</v>
      </c>
      <c r="I42" s="13">
        <f t="shared" si="7"/>
        <v>0</v>
      </c>
      <c r="J42" s="13">
        <f t="shared" si="7"/>
        <v>0</v>
      </c>
      <c r="K42" s="13">
        <f t="shared" si="7"/>
        <v>0</v>
      </c>
      <c r="L42" s="13">
        <f t="shared" si="7"/>
        <v>0</v>
      </c>
      <c r="M42" s="13">
        <f t="shared" si="7"/>
        <v>0</v>
      </c>
      <c r="N42" s="13">
        <f t="shared" si="7"/>
        <v>0</v>
      </c>
      <c r="O42" s="13">
        <f t="shared" si="7"/>
        <v>0</v>
      </c>
      <c r="P42" s="13">
        <f t="shared" si="7"/>
        <v>0</v>
      </c>
      <c r="Q42" s="13">
        <f t="shared" si="7"/>
        <v>0</v>
      </c>
      <c r="R42" s="13">
        <f t="shared" si="7"/>
        <v>0</v>
      </c>
      <c r="S42" s="13">
        <f t="shared" si="7"/>
        <v>0</v>
      </c>
      <c r="T42" s="13">
        <f t="shared" si="7"/>
        <v>0</v>
      </c>
      <c r="U42" s="13">
        <f t="shared" si="7"/>
        <v>0</v>
      </c>
      <c r="V42" s="13">
        <f t="shared" si="7"/>
        <v>0</v>
      </c>
      <c r="W42" s="13">
        <f t="shared" si="7"/>
        <v>0</v>
      </c>
      <c r="X42" s="13">
        <f t="shared" si="7"/>
        <v>0</v>
      </c>
      <c r="Y42" s="13">
        <f t="shared" si="7"/>
        <v>0</v>
      </c>
      <c r="Z42" s="13">
        <f t="shared" si="7"/>
        <v>0</v>
      </c>
      <c r="AA42" s="13">
        <f t="shared" si="7"/>
        <v>0</v>
      </c>
      <c r="AB42" s="13">
        <f t="shared" si="7"/>
        <v>0</v>
      </c>
      <c r="AC42" s="13">
        <f t="shared" si="7"/>
        <v>0</v>
      </c>
      <c r="AD42" s="13">
        <f t="shared" si="7"/>
        <v>0</v>
      </c>
      <c r="AE42" s="13">
        <f t="shared" si="7"/>
        <v>0</v>
      </c>
      <c r="AF42" s="13">
        <f t="shared" si="7"/>
        <v>0</v>
      </c>
      <c r="AG42" s="13">
        <f t="shared" si="7"/>
        <v>0</v>
      </c>
      <c r="AH42" s="13">
        <f t="shared" si="7"/>
        <v>0</v>
      </c>
      <c r="AI42" s="14"/>
    </row>
    <row r="43" spans="2:35">
      <c r="B43" s="34"/>
      <c r="C43" s="34"/>
      <c r="D43" s="1" t="s">
        <v>33</v>
      </c>
      <c r="E43" s="13">
        <f>E30*62000</f>
        <v>0</v>
      </c>
      <c r="F43" s="13">
        <f>F30*62000</f>
        <v>0</v>
      </c>
      <c r="G43" s="13">
        <f t="shared" si="7"/>
        <v>0</v>
      </c>
      <c r="H43" s="13">
        <f t="shared" si="7"/>
        <v>0</v>
      </c>
      <c r="I43" s="13">
        <f t="shared" si="7"/>
        <v>0</v>
      </c>
      <c r="J43" s="13">
        <f t="shared" si="7"/>
        <v>0</v>
      </c>
      <c r="K43" s="13">
        <f t="shared" si="7"/>
        <v>0</v>
      </c>
      <c r="L43" s="13">
        <f t="shared" si="7"/>
        <v>0</v>
      </c>
      <c r="M43" s="13">
        <f t="shared" si="7"/>
        <v>0</v>
      </c>
      <c r="N43" s="13">
        <f t="shared" si="7"/>
        <v>0</v>
      </c>
      <c r="O43" s="13">
        <f t="shared" si="7"/>
        <v>0</v>
      </c>
      <c r="P43" s="13">
        <f t="shared" si="7"/>
        <v>0</v>
      </c>
      <c r="Q43" s="13">
        <f t="shared" si="7"/>
        <v>0</v>
      </c>
      <c r="R43" s="13">
        <f t="shared" si="7"/>
        <v>0</v>
      </c>
      <c r="S43" s="13">
        <f t="shared" si="7"/>
        <v>0</v>
      </c>
      <c r="T43" s="13">
        <f t="shared" si="7"/>
        <v>0</v>
      </c>
      <c r="U43" s="13">
        <f t="shared" si="7"/>
        <v>0</v>
      </c>
      <c r="V43" s="13">
        <f t="shared" si="7"/>
        <v>0</v>
      </c>
      <c r="W43" s="13">
        <f t="shared" si="7"/>
        <v>0</v>
      </c>
      <c r="X43" s="13">
        <f t="shared" si="7"/>
        <v>0</v>
      </c>
      <c r="Y43" s="13">
        <f t="shared" si="7"/>
        <v>0</v>
      </c>
      <c r="Z43" s="13">
        <f t="shared" si="7"/>
        <v>0</v>
      </c>
      <c r="AA43" s="13">
        <f t="shared" si="7"/>
        <v>0</v>
      </c>
      <c r="AB43" s="13">
        <f t="shared" si="7"/>
        <v>0</v>
      </c>
      <c r="AC43" s="13">
        <f t="shared" si="7"/>
        <v>0</v>
      </c>
      <c r="AD43" s="13">
        <f t="shared" si="7"/>
        <v>0</v>
      </c>
      <c r="AE43" s="13">
        <f t="shared" si="7"/>
        <v>0</v>
      </c>
      <c r="AF43" s="13">
        <f t="shared" si="7"/>
        <v>0</v>
      </c>
      <c r="AG43" s="13">
        <f t="shared" si="7"/>
        <v>0</v>
      </c>
      <c r="AH43" s="13">
        <f t="shared" si="7"/>
        <v>0</v>
      </c>
      <c r="AI43" s="14"/>
    </row>
    <row r="44" spans="2:35">
      <c r="B44" s="34"/>
      <c r="C44" s="34"/>
      <c r="D44" s="1" t="s">
        <v>20</v>
      </c>
      <c r="E44" s="13">
        <f>E32*62000</f>
        <v>0</v>
      </c>
      <c r="F44" s="13">
        <f>F32*62000</f>
        <v>0</v>
      </c>
      <c r="G44" s="13">
        <f t="shared" ref="G44:AH44" si="8">G32*62000</f>
        <v>0</v>
      </c>
      <c r="H44" s="13">
        <f t="shared" si="8"/>
        <v>0</v>
      </c>
      <c r="I44" s="13">
        <f t="shared" si="8"/>
        <v>0</v>
      </c>
      <c r="J44" s="13">
        <f t="shared" si="8"/>
        <v>0</v>
      </c>
      <c r="K44" s="13">
        <f t="shared" si="8"/>
        <v>0</v>
      </c>
      <c r="L44" s="13">
        <f t="shared" si="8"/>
        <v>0</v>
      </c>
      <c r="M44" s="13">
        <f t="shared" si="8"/>
        <v>0</v>
      </c>
      <c r="N44" s="13">
        <f t="shared" si="8"/>
        <v>0</v>
      </c>
      <c r="O44" s="13">
        <f t="shared" si="8"/>
        <v>0</v>
      </c>
      <c r="P44" s="13">
        <f t="shared" si="8"/>
        <v>0</v>
      </c>
      <c r="Q44" s="13">
        <f t="shared" si="8"/>
        <v>0</v>
      </c>
      <c r="R44" s="13">
        <f t="shared" si="8"/>
        <v>0</v>
      </c>
      <c r="S44" s="13">
        <f t="shared" si="8"/>
        <v>0</v>
      </c>
      <c r="T44" s="13">
        <f t="shared" si="8"/>
        <v>0</v>
      </c>
      <c r="U44" s="13">
        <f t="shared" si="8"/>
        <v>0</v>
      </c>
      <c r="V44" s="13">
        <f t="shared" si="8"/>
        <v>0</v>
      </c>
      <c r="W44" s="13">
        <f t="shared" si="8"/>
        <v>0</v>
      </c>
      <c r="X44" s="13">
        <f t="shared" si="8"/>
        <v>0</v>
      </c>
      <c r="Y44" s="13">
        <f t="shared" si="8"/>
        <v>0</v>
      </c>
      <c r="Z44" s="13">
        <f t="shared" si="8"/>
        <v>0</v>
      </c>
      <c r="AA44" s="13">
        <f t="shared" si="8"/>
        <v>0</v>
      </c>
      <c r="AB44" s="13">
        <f t="shared" si="8"/>
        <v>0</v>
      </c>
      <c r="AC44" s="13">
        <f t="shared" si="8"/>
        <v>0</v>
      </c>
      <c r="AD44" s="13">
        <f t="shared" si="8"/>
        <v>0</v>
      </c>
      <c r="AE44" s="13">
        <f t="shared" si="8"/>
        <v>0</v>
      </c>
      <c r="AF44" s="13">
        <f t="shared" si="8"/>
        <v>0</v>
      </c>
      <c r="AG44" s="13">
        <f t="shared" si="8"/>
        <v>0</v>
      </c>
      <c r="AH44" s="13">
        <f t="shared" si="8"/>
        <v>0</v>
      </c>
      <c r="AI44" s="14"/>
    </row>
    <row r="45" spans="2:35">
      <c r="B45" s="34"/>
      <c r="C45" s="34"/>
      <c r="D45" s="1" t="s">
        <v>21</v>
      </c>
      <c r="E45" s="13">
        <f>E33*4200</f>
        <v>0</v>
      </c>
      <c r="F45" s="13">
        <f>F33*4200</f>
        <v>0</v>
      </c>
      <c r="G45" s="13">
        <f t="shared" ref="G45:AH46" si="9">G33*4200</f>
        <v>0</v>
      </c>
      <c r="H45" s="13">
        <f t="shared" si="9"/>
        <v>0</v>
      </c>
      <c r="I45" s="13">
        <f t="shared" si="9"/>
        <v>0</v>
      </c>
      <c r="J45" s="13">
        <f t="shared" si="9"/>
        <v>0</v>
      </c>
      <c r="K45" s="13">
        <f t="shared" si="9"/>
        <v>0</v>
      </c>
      <c r="L45" s="13">
        <f t="shared" si="9"/>
        <v>0</v>
      </c>
      <c r="M45" s="13">
        <f t="shared" si="9"/>
        <v>0</v>
      </c>
      <c r="N45" s="13">
        <f t="shared" si="9"/>
        <v>0</v>
      </c>
      <c r="O45" s="13">
        <f t="shared" si="9"/>
        <v>0</v>
      </c>
      <c r="P45" s="13">
        <f t="shared" si="9"/>
        <v>0</v>
      </c>
      <c r="Q45" s="13">
        <f t="shared" si="9"/>
        <v>0</v>
      </c>
      <c r="R45" s="13">
        <f t="shared" si="9"/>
        <v>0</v>
      </c>
      <c r="S45" s="13">
        <f t="shared" si="9"/>
        <v>0</v>
      </c>
      <c r="T45" s="13">
        <f t="shared" si="9"/>
        <v>0</v>
      </c>
      <c r="U45" s="13">
        <f t="shared" si="9"/>
        <v>0</v>
      </c>
      <c r="V45" s="13">
        <f t="shared" si="9"/>
        <v>0</v>
      </c>
      <c r="W45" s="13">
        <f t="shared" si="9"/>
        <v>0</v>
      </c>
      <c r="X45" s="13">
        <f t="shared" si="9"/>
        <v>0</v>
      </c>
      <c r="Y45" s="13">
        <f t="shared" si="9"/>
        <v>0</v>
      </c>
      <c r="Z45" s="13">
        <f t="shared" si="9"/>
        <v>0</v>
      </c>
      <c r="AA45" s="13">
        <f t="shared" si="9"/>
        <v>0</v>
      </c>
      <c r="AB45" s="13">
        <f t="shared" si="9"/>
        <v>0</v>
      </c>
      <c r="AC45" s="13">
        <f t="shared" si="9"/>
        <v>0</v>
      </c>
      <c r="AD45" s="13">
        <f t="shared" si="9"/>
        <v>0</v>
      </c>
      <c r="AE45" s="13">
        <f t="shared" si="9"/>
        <v>0</v>
      </c>
      <c r="AF45" s="13">
        <f t="shared" si="9"/>
        <v>0</v>
      </c>
      <c r="AG45" s="13">
        <f t="shared" si="9"/>
        <v>0</v>
      </c>
      <c r="AH45" s="13">
        <f t="shared" si="9"/>
        <v>0</v>
      </c>
      <c r="AI45" s="14"/>
    </row>
    <row r="46" spans="2:35">
      <c r="B46" s="34"/>
      <c r="C46" s="34"/>
      <c r="D46" s="1" t="s">
        <v>22</v>
      </c>
      <c r="E46" s="13">
        <f>E34*4200</f>
        <v>0</v>
      </c>
      <c r="F46" s="13">
        <f>F34*4200</f>
        <v>0</v>
      </c>
      <c r="G46" s="13">
        <f t="shared" si="9"/>
        <v>0</v>
      </c>
      <c r="H46" s="13">
        <f t="shared" si="9"/>
        <v>0</v>
      </c>
      <c r="I46" s="13">
        <f t="shared" si="9"/>
        <v>0</v>
      </c>
      <c r="J46" s="13">
        <f t="shared" si="9"/>
        <v>0</v>
      </c>
      <c r="K46" s="13">
        <f t="shared" si="9"/>
        <v>0</v>
      </c>
      <c r="L46" s="13">
        <f t="shared" si="9"/>
        <v>0</v>
      </c>
      <c r="M46" s="13">
        <f t="shared" si="9"/>
        <v>0</v>
      </c>
      <c r="N46" s="13">
        <f t="shared" si="9"/>
        <v>0</v>
      </c>
      <c r="O46" s="13">
        <f t="shared" si="9"/>
        <v>0</v>
      </c>
      <c r="P46" s="13">
        <f t="shared" si="9"/>
        <v>0</v>
      </c>
      <c r="Q46" s="13">
        <f t="shared" si="9"/>
        <v>0</v>
      </c>
      <c r="R46" s="13">
        <f t="shared" si="9"/>
        <v>0</v>
      </c>
      <c r="S46" s="13">
        <f t="shared" si="9"/>
        <v>0</v>
      </c>
      <c r="T46" s="13">
        <f t="shared" si="9"/>
        <v>0</v>
      </c>
      <c r="U46" s="13">
        <f t="shared" si="9"/>
        <v>0</v>
      </c>
      <c r="V46" s="13">
        <f t="shared" si="9"/>
        <v>0</v>
      </c>
      <c r="W46" s="13">
        <f t="shared" si="9"/>
        <v>0</v>
      </c>
      <c r="X46" s="13">
        <f t="shared" si="9"/>
        <v>0</v>
      </c>
      <c r="Y46" s="13">
        <f t="shared" si="9"/>
        <v>0</v>
      </c>
      <c r="Z46" s="13">
        <f t="shared" si="9"/>
        <v>0</v>
      </c>
      <c r="AA46" s="13">
        <f t="shared" si="9"/>
        <v>0</v>
      </c>
      <c r="AB46" s="13">
        <f t="shared" si="9"/>
        <v>0</v>
      </c>
      <c r="AC46" s="13">
        <f t="shared" si="9"/>
        <v>0</v>
      </c>
      <c r="AD46" s="13">
        <f t="shared" si="9"/>
        <v>0</v>
      </c>
      <c r="AE46" s="13">
        <f t="shared" si="9"/>
        <v>0</v>
      </c>
      <c r="AF46" s="13">
        <f t="shared" si="9"/>
        <v>0</v>
      </c>
      <c r="AG46" s="13">
        <f t="shared" si="9"/>
        <v>0</v>
      </c>
      <c r="AH46" s="13">
        <f t="shared" si="9"/>
        <v>0</v>
      </c>
      <c r="AI46" s="14"/>
    </row>
    <row r="47" spans="2:35">
      <c r="B47" s="34"/>
      <c r="C47" s="34"/>
      <c r="D47" s="1" t="s">
        <v>26</v>
      </c>
      <c r="E47" s="13">
        <f>SUM(E45:E46)</f>
        <v>0</v>
      </c>
      <c r="F47" s="13">
        <f>SUM(F45:F46)</f>
        <v>0</v>
      </c>
      <c r="G47" s="13">
        <f t="shared" ref="G47:AH47" si="10">SUM(G45:G46)</f>
        <v>0</v>
      </c>
      <c r="H47" s="13">
        <f t="shared" si="10"/>
        <v>0</v>
      </c>
      <c r="I47" s="13">
        <f t="shared" si="10"/>
        <v>0</v>
      </c>
      <c r="J47" s="13">
        <f t="shared" si="10"/>
        <v>0</v>
      </c>
      <c r="K47" s="13">
        <f t="shared" si="10"/>
        <v>0</v>
      </c>
      <c r="L47" s="13">
        <f t="shared" si="10"/>
        <v>0</v>
      </c>
      <c r="M47" s="13">
        <f t="shared" si="10"/>
        <v>0</v>
      </c>
      <c r="N47" s="13">
        <f t="shared" si="10"/>
        <v>0</v>
      </c>
      <c r="O47" s="13">
        <f t="shared" si="10"/>
        <v>0</v>
      </c>
      <c r="P47" s="13">
        <f t="shared" si="10"/>
        <v>0</v>
      </c>
      <c r="Q47" s="13">
        <f t="shared" si="10"/>
        <v>0</v>
      </c>
      <c r="R47" s="13">
        <f t="shared" si="10"/>
        <v>0</v>
      </c>
      <c r="S47" s="13">
        <f t="shared" si="10"/>
        <v>0</v>
      </c>
      <c r="T47" s="13">
        <f t="shared" si="10"/>
        <v>0</v>
      </c>
      <c r="U47" s="13">
        <f t="shared" si="10"/>
        <v>0</v>
      </c>
      <c r="V47" s="13">
        <f t="shared" si="10"/>
        <v>0</v>
      </c>
      <c r="W47" s="13">
        <f t="shared" si="10"/>
        <v>0</v>
      </c>
      <c r="X47" s="13">
        <f t="shared" si="10"/>
        <v>0</v>
      </c>
      <c r="Y47" s="13">
        <f t="shared" si="10"/>
        <v>0</v>
      </c>
      <c r="Z47" s="13">
        <f t="shared" si="10"/>
        <v>0</v>
      </c>
      <c r="AA47" s="13">
        <f t="shared" si="10"/>
        <v>0</v>
      </c>
      <c r="AB47" s="13">
        <f t="shared" si="10"/>
        <v>0</v>
      </c>
      <c r="AC47" s="13">
        <f t="shared" si="10"/>
        <v>0</v>
      </c>
      <c r="AD47" s="13">
        <f t="shared" si="10"/>
        <v>0</v>
      </c>
      <c r="AE47" s="13">
        <f t="shared" si="10"/>
        <v>0</v>
      </c>
      <c r="AF47" s="13">
        <f t="shared" si="10"/>
        <v>0</v>
      </c>
      <c r="AG47" s="13">
        <f t="shared" si="10"/>
        <v>0</v>
      </c>
      <c r="AH47" s="13">
        <f t="shared" si="10"/>
        <v>0</v>
      </c>
      <c r="AI47" s="14"/>
    </row>
    <row r="48" spans="2:35">
      <c r="B48" s="34"/>
      <c r="C48" s="34"/>
      <c r="D48" s="1" t="s">
        <v>27</v>
      </c>
      <c r="E48" s="13">
        <f>E36*84000</f>
        <v>0</v>
      </c>
      <c r="F48" s="13">
        <f>F36*84000</f>
        <v>0</v>
      </c>
      <c r="G48" s="13">
        <f t="shared" ref="G48:AH48" si="11">G36*84000</f>
        <v>0</v>
      </c>
      <c r="H48" s="13">
        <f t="shared" si="11"/>
        <v>0</v>
      </c>
      <c r="I48" s="13">
        <f t="shared" si="11"/>
        <v>0</v>
      </c>
      <c r="J48" s="13">
        <f t="shared" si="11"/>
        <v>0</v>
      </c>
      <c r="K48" s="13">
        <f t="shared" si="11"/>
        <v>0</v>
      </c>
      <c r="L48" s="13">
        <f t="shared" si="11"/>
        <v>0</v>
      </c>
      <c r="M48" s="13">
        <f t="shared" si="11"/>
        <v>0</v>
      </c>
      <c r="N48" s="13">
        <f t="shared" si="11"/>
        <v>0</v>
      </c>
      <c r="O48" s="13">
        <f t="shared" si="11"/>
        <v>0</v>
      </c>
      <c r="P48" s="13">
        <f t="shared" si="11"/>
        <v>0</v>
      </c>
      <c r="Q48" s="13">
        <f t="shared" si="11"/>
        <v>0</v>
      </c>
      <c r="R48" s="13">
        <f t="shared" si="11"/>
        <v>0</v>
      </c>
      <c r="S48" s="13">
        <f t="shared" si="11"/>
        <v>0</v>
      </c>
      <c r="T48" s="13">
        <f t="shared" si="11"/>
        <v>0</v>
      </c>
      <c r="U48" s="13">
        <f t="shared" si="11"/>
        <v>0</v>
      </c>
      <c r="V48" s="13">
        <f t="shared" si="11"/>
        <v>0</v>
      </c>
      <c r="W48" s="13">
        <f t="shared" si="11"/>
        <v>0</v>
      </c>
      <c r="X48" s="13">
        <f t="shared" si="11"/>
        <v>0</v>
      </c>
      <c r="Y48" s="13">
        <f t="shared" si="11"/>
        <v>0</v>
      </c>
      <c r="Z48" s="13">
        <f t="shared" si="11"/>
        <v>0</v>
      </c>
      <c r="AA48" s="13">
        <f t="shared" si="11"/>
        <v>0</v>
      </c>
      <c r="AB48" s="13">
        <f>AB37*84000</f>
        <v>0</v>
      </c>
      <c r="AC48" s="13">
        <f t="shared" si="11"/>
        <v>0</v>
      </c>
      <c r="AD48" s="13">
        <f t="shared" si="11"/>
        <v>0</v>
      </c>
      <c r="AE48" s="13">
        <f t="shared" si="11"/>
        <v>0</v>
      </c>
      <c r="AF48" s="13">
        <f t="shared" si="11"/>
        <v>0</v>
      </c>
      <c r="AG48" s="13">
        <f t="shared" si="11"/>
        <v>0</v>
      </c>
      <c r="AH48" s="13">
        <f t="shared" si="11"/>
        <v>0</v>
      </c>
      <c r="AI48" s="14"/>
    </row>
    <row r="49" spans="2:35">
      <c r="B49" s="34"/>
      <c r="C49" s="34"/>
      <c r="D49" s="1" t="s">
        <v>29</v>
      </c>
      <c r="E49" s="13">
        <f>E38*13000</f>
        <v>0</v>
      </c>
      <c r="F49" s="13">
        <f>F38*13000</f>
        <v>0</v>
      </c>
      <c r="G49" s="13">
        <f t="shared" ref="G49:AH49" si="12">G38*13000</f>
        <v>0</v>
      </c>
      <c r="H49" s="13">
        <f t="shared" si="12"/>
        <v>0</v>
      </c>
      <c r="I49" s="13">
        <f t="shared" si="12"/>
        <v>0</v>
      </c>
      <c r="J49" s="13">
        <f t="shared" si="12"/>
        <v>0</v>
      </c>
      <c r="K49" s="13">
        <f t="shared" si="12"/>
        <v>0</v>
      </c>
      <c r="L49" s="13">
        <f t="shared" si="12"/>
        <v>0</v>
      </c>
      <c r="M49" s="13">
        <f t="shared" si="12"/>
        <v>0</v>
      </c>
      <c r="N49" s="13">
        <f t="shared" si="12"/>
        <v>0</v>
      </c>
      <c r="O49" s="13">
        <f t="shared" si="12"/>
        <v>0</v>
      </c>
      <c r="P49" s="13">
        <f t="shared" si="12"/>
        <v>0</v>
      </c>
      <c r="Q49" s="13">
        <f t="shared" si="12"/>
        <v>0</v>
      </c>
      <c r="R49" s="13">
        <f t="shared" si="12"/>
        <v>0</v>
      </c>
      <c r="S49" s="13">
        <f t="shared" si="12"/>
        <v>0</v>
      </c>
      <c r="T49" s="13">
        <f t="shared" si="12"/>
        <v>0</v>
      </c>
      <c r="U49" s="13">
        <f t="shared" si="12"/>
        <v>0</v>
      </c>
      <c r="V49" s="13">
        <f t="shared" si="12"/>
        <v>0</v>
      </c>
      <c r="W49" s="13" t="e">
        <f>#REF!*13000</f>
        <v>#REF!</v>
      </c>
      <c r="X49" s="13">
        <f t="shared" si="12"/>
        <v>0</v>
      </c>
      <c r="Y49" s="13">
        <f t="shared" si="12"/>
        <v>0</v>
      </c>
      <c r="Z49" s="13">
        <f t="shared" si="12"/>
        <v>0</v>
      </c>
      <c r="AA49" s="13">
        <f t="shared" si="12"/>
        <v>0</v>
      </c>
      <c r="AB49" s="13">
        <f t="shared" si="12"/>
        <v>0</v>
      </c>
      <c r="AC49" s="13" t="e">
        <f>#REF!*13000</f>
        <v>#REF!</v>
      </c>
      <c r="AD49" s="13">
        <f t="shared" si="12"/>
        <v>0</v>
      </c>
      <c r="AE49" s="13">
        <f t="shared" si="12"/>
        <v>0</v>
      </c>
      <c r="AF49" s="13">
        <f t="shared" si="12"/>
        <v>0</v>
      </c>
      <c r="AG49" s="13">
        <f t="shared" si="12"/>
        <v>0</v>
      </c>
      <c r="AH49" s="13">
        <f t="shared" si="12"/>
        <v>0</v>
      </c>
      <c r="AI49" s="14"/>
    </row>
    <row r="50" spans="2:35">
      <c r="B50" s="34" t="s">
        <v>34</v>
      </c>
      <c r="C50" s="34"/>
      <c r="D50" s="1" t="s">
        <v>35</v>
      </c>
    </row>
    <row r="51" spans="2:35">
      <c r="B51" s="34"/>
      <c r="C51" s="34"/>
      <c r="D51" s="1" t="s">
        <v>36</v>
      </c>
    </row>
    <row r="52" spans="2:35">
      <c r="B52" s="34"/>
      <c r="C52" s="34"/>
      <c r="D52" s="1" t="s">
        <v>37</v>
      </c>
    </row>
    <row r="53" spans="2:35">
      <c r="B53" s="34"/>
      <c r="C53" s="34"/>
      <c r="D53" s="1" t="s">
        <v>38</v>
      </c>
    </row>
    <row r="54" spans="2:35">
      <c r="B54" s="34"/>
      <c r="C54" s="34"/>
      <c r="D54" s="1" t="s">
        <v>39</v>
      </c>
    </row>
    <row r="55" spans="2:35">
      <c r="B55" s="34"/>
      <c r="C55" s="34"/>
      <c r="D55" s="1" t="s">
        <v>40</v>
      </c>
    </row>
    <row r="56" spans="2:35">
      <c r="B56" s="34"/>
      <c r="C56" s="34"/>
      <c r="D56" s="1" t="s">
        <v>41</v>
      </c>
    </row>
    <row r="57" spans="2:35">
      <c r="B57" s="34"/>
      <c r="C57" s="34"/>
      <c r="D57" s="1" t="s">
        <v>42</v>
      </c>
    </row>
    <row r="58" spans="2:35">
      <c r="B58" s="34"/>
      <c r="C58" s="34"/>
      <c r="D58" s="1" t="s">
        <v>43</v>
      </c>
    </row>
    <row r="59" spans="2:35">
      <c r="B59" s="34"/>
      <c r="C59" s="34"/>
      <c r="D59" s="1" t="s">
        <v>44</v>
      </c>
    </row>
    <row r="60" spans="2:35">
      <c r="B60" s="34"/>
      <c r="C60" s="34"/>
      <c r="D60" s="1" t="s">
        <v>45</v>
      </c>
    </row>
    <row r="61" spans="2:35">
      <c r="B61" s="34"/>
      <c r="C61" s="34"/>
      <c r="D61" s="1" t="s">
        <v>46</v>
      </c>
    </row>
    <row r="62" spans="2:35">
      <c r="B62" s="34"/>
      <c r="C62" s="34"/>
      <c r="D62" s="1" t="s">
        <v>47</v>
      </c>
    </row>
    <row r="63" spans="2:35">
      <c r="B63" s="34"/>
      <c r="C63" s="34"/>
      <c r="D63" s="1" t="s">
        <v>48</v>
      </c>
    </row>
    <row r="64" spans="2:35">
      <c r="B64" s="34"/>
      <c r="C64" s="34"/>
      <c r="D64" s="1" t="s">
        <v>49</v>
      </c>
    </row>
    <row r="65" spans="2:4">
      <c r="B65" s="34"/>
      <c r="C65" s="34"/>
      <c r="D65" s="1" t="s">
        <v>50</v>
      </c>
    </row>
    <row r="66" spans="2:4">
      <c r="B66" s="34"/>
      <c r="C66" s="34"/>
      <c r="D66" s="2" t="s">
        <v>51</v>
      </c>
    </row>
    <row r="67" spans="2:4">
      <c r="B67" s="34" t="s">
        <v>52</v>
      </c>
      <c r="C67" s="34"/>
      <c r="D67" s="1" t="s">
        <v>35</v>
      </c>
    </row>
    <row r="68" spans="2:4">
      <c r="B68" s="34"/>
      <c r="C68" s="34"/>
      <c r="D68" s="1" t="s">
        <v>36</v>
      </c>
    </row>
    <row r="69" spans="2:4">
      <c r="B69" s="34"/>
      <c r="C69" s="34"/>
      <c r="D69" s="1" t="s">
        <v>37</v>
      </c>
    </row>
    <row r="70" spans="2:4">
      <c r="B70" s="34"/>
      <c r="C70" s="34"/>
      <c r="D70" s="1" t="s">
        <v>38</v>
      </c>
    </row>
    <row r="71" spans="2:4">
      <c r="B71" s="34"/>
      <c r="C71" s="34"/>
      <c r="D71" s="1" t="s">
        <v>39</v>
      </c>
    </row>
    <row r="72" spans="2:4">
      <c r="B72" s="34"/>
      <c r="C72" s="34"/>
      <c r="D72" s="1" t="s">
        <v>40</v>
      </c>
    </row>
    <row r="73" spans="2:4">
      <c r="B73" s="34"/>
      <c r="C73" s="34"/>
      <c r="D73" s="1" t="s">
        <v>41</v>
      </c>
    </row>
    <row r="74" spans="2:4">
      <c r="B74" s="34"/>
      <c r="C74" s="34"/>
      <c r="D74" s="1" t="s">
        <v>42</v>
      </c>
    </row>
    <row r="75" spans="2:4">
      <c r="B75" s="34"/>
      <c r="C75" s="34"/>
      <c r="D75" s="1" t="s">
        <v>43</v>
      </c>
    </row>
    <row r="76" spans="2:4">
      <c r="B76" s="34"/>
      <c r="C76" s="34"/>
      <c r="D76" s="1" t="s">
        <v>44</v>
      </c>
    </row>
    <row r="77" spans="2:4">
      <c r="B77" s="34"/>
      <c r="C77" s="34"/>
      <c r="D77" s="1" t="s">
        <v>45</v>
      </c>
    </row>
    <row r="78" spans="2:4">
      <c r="B78" s="34"/>
      <c r="C78" s="34"/>
      <c r="D78" s="1" t="s">
        <v>46</v>
      </c>
    </row>
    <row r="79" spans="2:4">
      <c r="B79" s="34"/>
      <c r="C79" s="34"/>
      <c r="D79" s="1" t="s">
        <v>47</v>
      </c>
    </row>
    <row r="80" spans="2:4">
      <c r="B80" s="34"/>
      <c r="C80" s="34"/>
      <c r="D80" s="1" t="s">
        <v>48</v>
      </c>
    </row>
    <row r="81" spans="2:4">
      <c r="B81" s="34"/>
      <c r="C81" s="34"/>
      <c r="D81" s="1" t="s">
        <v>49</v>
      </c>
    </row>
    <row r="82" spans="2:4">
      <c r="B82" s="34"/>
      <c r="C82" s="34"/>
      <c r="D82" s="1" t="s">
        <v>50</v>
      </c>
    </row>
    <row r="83" spans="2:4">
      <c r="B83" s="34"/>
      <c r="C83" s="34"/>
      <c r="D83" s="2" t="s">
        <v>51</v>
      </c>
    </row>
    <row r="84" spans="2:4">
      <c r="B84" s="34" t="s">
        <v>53</v>
      </c>
      <c r="C84" s="34"/>
      <c r="D84" s="1" t="s">
        <v>35</v>
      </c>
    </row>
    <row r="85" spans="2:4">
      <c r="B85" s="34"/>
      <c r="C85" s="34"/>
      <c r="D85" s="1" t="s">
        <v>36</v>
      </c>
    </row>
    <row r="86" spans="2:4">
      <c r="B86" s="34"/>
      <c r="C86" s="34"/>
      <c r="D86" s="1" t="s">
        <v>37</v>
      </c>
    </row>
    <row r="87" spans="2:4">
      <c r="B87" s="34"/>
      <c r="C87" s="34"/>
      <c r="D87" s="1" t="s">
        <v>38</v>
      </c>
    </row>
    <row r="88" spans="2:4">
      <c r="B88" s="34"/>
      <c r="C88" s="34"/>
      <c r="D88" s="1" t="s">
        <v>39</v>
      </c>
    </row>
    <row r="89" spans="2:4">
      <c r="B89" s="34"/>
      <c r="C89" s="34"/>
      <c r="D89" s="1" t="s">
        <v>40</v>
      </c>
    </row>
    <row r="90" spans="2:4">
      <c r="B90" s="34"/>
      <c r="C90" s="34"/>
      <c r="D90" s="1" t="s">
        <v>41</v>
      </c>
    </row>
    <row r="91" spans="2:4">
      <c r="B91" s="34"/>
      <c r="C91" s="34"/>
      <c r="D91" s="1" t="s">
        <v>42</v>
      </c>
    </row>
    <row r="92" spans="2:4">
      <c r="B92" s="34"/>
      <c r="C92" s="34"/>
      <c r="D92" s="1" t="s">
        <v>43</v>
      </c>
    </row>
    <row r="93" spans="2:4">
      <c r="B93" s="34"/>
      <c r="C93" s="34"/>
      <c r="D93" s="1" t="s">
        <v>44</v>
      </c>
    </row>
    <row r="94" spans="2:4">
      <c r="B94" s="34"/>
      <c r="C94" s="34"/>
      <c r="D94" s="1" t="s">
        <v>45</v>
      </c>
    </row>
    <row r="95" spans="2:4">
      <c r="B95" s="34"/>
      <c r="C95" s="34"/>
      <c r="D95" s="1" t="s">
        <v>46</v>
      </c>
    </row>
    <row r="96" spans="2:4">
      <c r="B96" s="34"/>
      <c r="C96" s="34"/>
      <c r="D96" s="1" t="s">
        <v>47</v>
      </c>
    </row>
    <row r="97" spans="2:4">
      <c r="B97" s="34"/>
      <c r="C97" s="34"/>
      <c r="D97" s="1" t="s">
        <v>48</v>
      </c>
    </row>
    <row r="98" spans="2:4">
      <c r="B98" s="34"/>
      <c r="C98" s="34"/>
      <c r="D98" s="1" t="s">
        <v>49</v>
      </c>
    </row>
    <row r="99" spans="2:4">
      <c r="B99" s="34"/>
      <c r="C99" s="34"/>
      <c r="D99" s="1" t="s">
        <v>50</v>
      </c>
    </row>
    <row r="100" spans="2:4">
      <c r="B100" s="34"/>
      <c r="C100" s="34"/>
      <c r="D100" s="2" t="s">
        <v>51</v>
      </c>
    </row>
    <row r="101" spans="2:4">
      <c r="B101" s="34" t="s">
        <v>54</v>
      </c>
      <c r="C101" s="34"/>
      <c r="D101" s="1" t="s">
        <v>35</v>
      </c>
    </row>
    <row r="102" spans="2:4">
      <c r="B102" s="34"/>
      <c r="C102" s="34"/>
      <c r="D102" s="1" t="s">
        <v>36</v>
      </c>
    </row>
    <row r="103" spans="2:4">
      <c r="B103" s="34"/>
      <c r="C103" s="34"/>
      <c r="D103" s="1" t="s">
        <v>37</v>
      </c>
    </row>
    <row r="104" spans="2:4">
      <c r="B104" s="34"/>
      <c r="C104" s="34"/>
      <c r="D104" s="1" t="s">
        <v>38</v>
      </c>
    </row>
    <row r="105" spans="2:4">
      <c r="B105" s="34"/>
      <c r="C105" s="34"/>
      <c r="D105" s="1" t="s">
        <v>39</v>
      </c>
    </row>
    <row r="106" spans="2:4">
      <c r="B106" s="34"/>
      <c r="C106" s="34"/>
      <c r="D106" s="1" t="s">
        <v>40</v>
      </c>
    </row>
    <row r="107" spans="2:4">
      <c r="B107" s="34"/>
      <c r="C107" s="34"/>
      <c r="D107" s="1" t="s">
        <v>41</v>
      </c>
    </row>
    <row r="108" spans="2:4">
      <c r="B108" s="34"/>
      <c r="C108" s="34"/>
      <c r="D108" s="1" t="s">
        <v>42</v>
      </c>
    </row>
    <row r="109" spans="2:4">
      <c r="B109" s="34"/>
      <c r="C109" s="34"/>
      <c r="D109" s="1" t="s">
        <v>43</v>
      </c>
    </row>
    <row r="110" spans="2:4">
      <c r="B110" s="34"/>
      <c r="C110" s="34"/>
      <c r="D110" s="1" t="s">
        <v>44</v>
      </c>
    </row>
    <row r="111" spans="2:4">
      <c r="B111" s="34"/>
      <c r="C111" s="34"/>
      <c r="D111" s="1" t="s">
        <v>45</v>
      </c>
    </row>
    <row r="112" spans="2:4">
      <c r="B112" s="34"/>
      <c r="C112" s="34"/>
      <c r="D112" s="1" t="s">
        <v>46</v>
      </c>
    </row>
    <row r="113" spans="2:15">
      <c r="B113" s="34"/>
      <c r="C113" s="34"/>
      <c r="D113" s="1" t="s">
        <v>47</v>
      </c>
    </row>
    <row r="114" spans="2:15">
      <c r="B114" s="34"/>
      <c r="C114" s="34"/>
      <c r="D114" s="1" t="s">
        <v>48</v>
      </c>
    </row>
    <row r="115" spans="2:15">
      <c r="B115" s="34"/>
      <c r="C115" s="34"/>
      <c r="D115" s="1" t="s">
        <v>49</v>
      </c>
    </row>
    <row r="116" spans="2:15">
      <c r="B116" s="34"/>
      <c r="C116" s="34"/>
      <c r="D116" s="1" t="s">
        <v>50</v>
      </c>
    </row>
    <row r="117" spans="2:15">
      <c r="B117" s="34"/>
      <c r="C117" s="34"/>
      <c r="D117" s="2" t="s">
        <v>51</v>
      </c>
    </row>
    <row r="118" spans="2:15" ht="14.5">
      <c r="B118" s="34" t="s">
        <v>55</v>
      </c>
      <c r="C118" s="34" t="s">
        <v>56</v>
      </c>
      <c r="D118" s="1" t="s">
        <v>40</v>
      </c>
      <c r="H118" s="15"/>
      <c r="I118" s="15"/>
      <c r="L118" s="15"/>
      <c r="M118" s="15"/>
      <c r="O118" s="15"/>
    </row>
    <row r="119" spans="2:15" ht="14.5">
      <c r="B119" s="34"/>
      <c r="C119" s="34"/>
      <c r="D119" s="1" t="s">
        <v>41</v>
      </c>
      <c r="H119" s="15"/>
      <c r="I119" s="15"/>
      <c r="L119" s="15"/>
      <c r="M119" s="15"/>
      <c r="O119" s="15"/>
    </row>
    <row r="120" spans="2:15" ht="14.5">
      <c r="B120" s="34"/>
      <c r="C120" s="34"/>
      <c r="D120" s="1" t="s">
        <v>42</v>
      </c>
      <c r="H120" s="15"/>
      <c r="I120" s="15"/>
      <c r="L120" s="15"/>
      <c r="M120" s="15"/>
      <c r="O120" s="15"/>
    </row>
    <row r="121" spans="2:15" ht="14.5">
      <c r="B121" s="34"/>
      <c r="C121" s="34"/>
      <c r="D121" s="1" t="s">
        <v>43</v>
      </c>
      <c r="H121" s="15"/>
      <c r="I121" s="15"/>
      <c r="L121" s="15"/>
      <c r="M121" s="15"/>
      <c r="O121" s="15"/>
    </row>
    <row r="122" spans="2:15" ht="14.5">
      <c r="B122" s="34"/>
      <c r="C122" s="34"/>
      <c r="D122" s="1" t="s">
        <v>44</v>
      </c>
      <c r="H122" s="15"/>
      <c r="I122" s="15"/>
      <c r="L122" s="15"/>
      <c r="M122" s="15"/>
      <c r="O122" s="15"/>
    </row>
    <row r="123" spans="2:15" ht="14.5">
      <c r="B123" s="34"/>
      <c r="C123" s="34"/>
      <c r="D123" s="1" t="s">
        <v>45</v>
      </c>
      <c r="L123" s="15"/>
    </row>
    <row r="124" spans="2:15">
      <c r="B124" s="34"/>
      <c r="C124" s="34" t="s">
        <v>57</v>
      </c>
      <c r="D124" s="1" t="s">
        <v>40</v>
      </c>
    </row>
    <row r="125" spans="2:15">
      <c r="B125" s="34"/>
      <c r="C125" s="34"/>
      <c r="D125" s="1" t="s">
        <v>41</v>
      </c>
    </row>
    <row r="126" spans="2:15">
      <c r="B126" s="34"/>
      <c r="C126" s="34"/>
      <c r="D126" s="1" t="s">
        <v>42</v>
      </c>
    </row>
    <row r="127" spans="2:15">
      <c r="B127" s="34"/>
      <c r="C127" s="34"/>
      <c r="D127" s="1" t="s">
        <v>43</v>
      </c>
    </row>
    <row r="128" spans="2:15">
      <c r="B128" s="34"/>
      <c r="C128" s="34"/>
      <c r="D128" s="1" t="s">
        <v>44</v>
      </c>
    </row>
    <row r="129" spans="2:34">
      <c r="B129" s="34"/>
      <c r="C129" s="34"/>
      <c r="D129" s="1" t="s">
        <v>45</v>
      </c>
    </row>
    <row r="130" spans="2:34">
      <c r="B130" s="34"/>
      <c r="C130" s="34" t="s">
        <v>58</v>
      </c>
      <c r="D130" s="1" t="s">
        <v>40</v>
      </c>
      <c r="E130" s="1" t="e">
        <f t="shared" ref="E130:F130" si="13">E118/E124*1000</f>
        <v>#DIV/0!</v>
      </c>
      <c r="F130" s="1" t="e">
        <f t="shared" si="13"/>
        <v>#DIV/0!</v>
      </c>
      <c r="G130" s="1" t="e">
        <f>G118/G124*1000</f>
        <v>#DIV/0!</v>
      </c>
      <c r="H130" s="1" t="e">
        <f t="shared" ref="H130:Z135" si="14">H118/H124*10</f>
        <v>#DIV/0!</v>
      </c>
      <c r="I130" s="1" t="e">
        <f t="shared" si="14"/>
        <v>#DIV/0!</v>
      </c>
      <c r="J130" s="1" t="e">
        <f t="shared" si="14"/>
        <v>#DIV/0!</v>
      </c>
      <c r="K130" s="1" t="e">
        <f t="shared" si="14"/>
        <v>#DIV/0!</v>
      </c>
      <c r="L130" s="1" t="e">
        <f t="shared" si="14"/>
        <v>#DIV/0!</v>
      </c>
      <c r="M130" s="1" t="e">
        <f t="shared" si="14"/>
        <v>#DIV/0!</v>
      </c>
      <c r="N130" s="1" t="e">
        <f t="shared" si="14"/>
        <v>#DIV/0!</v>
      </c>
      <c r="O130" s="1" t="e">
        <f t="shared" si="14"/>
        <v>#DIV/0!</v>
      </c>
      <c r="P130" s="1" t="e">
        <f t="shared" si="14"/>
        <v>#DIV/0!</v>
      </c>
      <c r="Q130" s="1" t="e">
        <f t="shared" si="14"/>
        <v>#DIV/0!</v>
      </c>
      <c r="R130" s="1" t="e">
        <f t="shared" si="14"/>
        <v>#DIV/0!</v>
      </c>
      <c r="S130" s="1" t="e">
        <f t="shared" si="14"/>
        <v>#DIV/0!</v>
      </c>
      <c r="T130" s="1" t="e">
        <f t="shared" si="14"/>
        <v>#DIV/0!</v>
      </c>
      <c r="U130" s="1" t="e">
        <f t="shared" si="14"/>
        <v>#DIV/0!</v>
      </c>
      <c r="V130" s="1" t="e">
        <f t="shared" si="14"/>
        <v>#DIV/0!</v>
      </c>
      <c r="W130" s="1" t="e">
        <f t="shared" si="14"/>
        <v>#DIV/0!</v>
      </c>
      <c r="X130" s="1" t="e">
        <f t="shared" si="14"/>
        <v>#DIV/0!</v>
      </c>
      <c r="Y130" s="1" t="e">
        <f t="shared" si="14"/>
        <v>#DIV/0!</v>
      </c>
      <c r="Z130" s="1" t="e">
        <f t="shared" si="14"/>
        <v>#DIV/0!</v>
      </c>
      <c r="AA130" s="1" t="e">
        <f t="shared" ref="AA130:AH131" si="15">AA118/AA124*1000</f>
        <v>#DIV/0!</v>
      </c>
      <c r="AB130" s="1" t="e">
        <f t="shared" si="15"/>
        <v>#DIV/0!</v>
      </c>
      <c r="AC130" s="1" t="e">
        <f t="shared" si="15"/>
        <v>#DIV/0!</v>
      </c>
      <c r="AD130" s="1" t="e">
        <f t="shared" si="15"/>
        <v>#DIV/0!</v>
      </c>
      <c r="AE130" s="1" t="e">
        <f t="shared" si="15"/>
        <v>#DIV/0!</v>
      </c>
      <c r="AF130" s="1" t="e">
        <f t="shared" si="15"/>
        <v>#DIV/0!</v>
      </c>
      <c r="AG130" s="1" t="e">
        <f t="shared" si="15"/>
        <v>#DIV/0!</v>
      </c>
      <c r="AH130" s="1" t="e">
        <f t="shared" si="15"/>
        <v>#DIV/0!</v>
      </c>
    </row>
    <row r="131" spans="2:34">
      <c r="B131" s="34"/>
      <c r="C131" s="34"/>
      <c r="D131" s="1" t="s">
        <v>41</v>
      </c>
      <c r="E131" s="1" t="e">
        <f t="shared" ref="E131:F131" si="16">E119/E125*1000</f>
        <v>#DIV/0!</v>
      </c>
      <c r="F131" s="1" t="e">
        <f t="shared" si="16"/>
        <v>#DIV/0!</v>
      </c>
      <c r="G131" s="1" t="e">
        <f>G119/G125*1000</f>
        <v>#DIV/0!</v>
      </c>
      <c r="H131" s="1" t="e">
        <f t="shared" si="14"/>
        <v>#DIV/0!</v>
      </c>
      <c r="I131" s="1" t="e">
        <f t="shared" si="14"/>
        <v>#DIV/0!</v>
      </c>
      <c r="J131" s="1" t="e">
        <f t="shared" si="14"/>
        <v>#DIV/0!</v>
      </c>
      <c r="K131" s="1" t="e">
        <f t="shared" si="14"/>
        <v>#DIV/0!</v>
      </c>
      <c r="L131" s="1" t="e">
        <f t="shared" si="14"/>
        <v>#DIV/0!</v>
      </c>
      <c r="M131" s="1" t="e">
        <f t="shared" si="14"/>
        <v>#DIV/0!</v>
      </c>
      <c r="N131" s="1" t="e">
        <f t="shared" si="14"/>
        <v>#DIV/0!</v>
      </c>
      <c r="O131" s="1" t="e">
        <f t="shared" si="14"/>
        <v>#DIV/0!</v>
      </c>
      <c r="P131" s="1" t="e">
        <f t="shared" si="14"/>
        <v>#DIV/0!</v>
      </c>
      <c r="Q131" s="1" t="e">
        <f t="shared" si="14"/>
        <v>#DIV/0!</v>
      </c>
      <c r="R131" s="1" t="e">
        <f t="shared" si="14"/>
        <v>#DIV/0!</v>
      </c>
      <c r="S131" s="1" t="e">
        <f t="shared" si="14"/>
        <v>#DIV/0!</v>
      </c>
      <c r="T131" s="1" t="e">
        <f t="shared" si="14"/>
        <v>#DIV/0!</v>
      </c>
      <c r="U131" s="1" t="e">
        <f t="shared" si="14"/>
        <v>#DIV/0!</v>
      </c>
      <c r="V131" s="1" t="e">
        <f t="shared" si="14"/>
        <v>#DIV/0!</v>
      </c>
      <c r="W131" s="1" t="e">
        <f t="shared" si="14"/>
        <v>#DIV/0!</v>
      </c>
      <c r="X131" s="1" t="e">
        <f t="shared" si="14"/>
        <v>#DIV/0!</v>
      </c>
      <c r="Y131" s="1" t="e">
        <f t="shared" si="14"/>
        <v>#DIV/0!</v>
      </c>
      <c r="Z131" s="1" t="e">
        <f t="shared" si="14"/>
        <v>#DIV/0!</v>
      </c>
      <c r="AA131" s="1" t="e">
        <f t="shared" si="15"/>
        <v>#DIV/0!</v>
      </c>
      <c r="AB131" s="1" t="e">
        <f t="shared" si="15"/>
        <v>#DIV/0!</v>
      </c>
      <c r="AC131" s="1" t="e">
        <f t="shared" si="15"/>
        <v>#DIV/0!</v>
      </c>
      <c r="AD131" s="1" t="e">
        <f t="shared" si="15"/>
        <v>#DIV/0!</v>
      </c>
      <c r="AE131" s="1" t="e">
        <f t="shared" si="15"/>
        <v>#DIV/0!</v>
      </c>
      <c r="AF131" s="1" t="e">
        <f t="shared" si="15"/>
        <v>#DIV/0!</v>
      </c>
      <c r="AG131" s="1" t="e">
        <f t="shared" si="15"/>
        <v>#DIV/0!</v>
      </c>
      <c r="AH131" s="1" t="e">
        <f t="shared" si="15"/>
        <v>#DIV/0!</v>
      </c>
    </row>
    <row r="132" spans="2:34">
      <c r="B132" s="34"/>
      <c r="C132" s="34"/>
      <c r="D132" s="1" t="s">
        <v>42</v>
      </c>
      <c r="E132" s="1" t="e">
        <f t="shared" ref="E132:G134" si="17">E120/E126*10</f>
        <v>#DIV/0!</v>
      </c>
      <c r="F132" s="1" t="e">
        <f t="shared" si="17"/>
        <v>#DIV/0!</v>
      </c>
      <c r="G132" s="1" t="e">
        <f t="shared" si="17"/>
        <v>#DIV/0!</v>
      </c>
      <c r="H132" s="1" t="e">
        <f t="shared" si="14"/>
        <v>#DIV/0!</v>
      </c>
      <c r="I132" s="1" t="e">
        <f t="shared" si="14"/>
        <v>#DIV/0!</v>
      </c>
      <c r="J132" s="1" t="e">
        <f t="shared" si="14"/>
        <v>#DIV/0!</v>
      </c>
      <c r="K132" s="1" t="e">
        <f t="shared" si="14"/>
        <v>#DIV/0!</v>
      </c>
      <c r="L132" s="1" t="e">
        <f t="shared" si="14"/>
        <v>#DIV/0!</v>
      </c>
      <c r="M132" s="1" t="e">
        <f t="shared" si="14"/>
        <v>#DIV/0!</v>
      </c>
      <c r="N132" s="1" t="e">
        <f t="shared" si="14"/>
        <v>#DIV/0!</v>
      </c>
      <c r="O132" s="1" t="e">
        <f t="shared" si="14"/>
        <v>#DIV/0!</v>
      </c>
      <c r="P132" s="1" t="e">
        <f t="shared" si="14"/>
        <v>#DIV/0!</v>
      </c>
      <c r="Q132" s="1" t="e">
        <f t="shared" si="14"/>
        <v>#DIV/0!</v>
      </c>
      <c r="R132" s="1" t="e">
        <f t="shared" si="14"/>
        <v>#DIV/0!</v>
      </c>
      <c r="S132" s="1" t="e">
        <f t="shared" si="14"/>
        <v>#DIV/0!</v>
      </c>
      <c r="T132" s="1" t="e">
        <f t="shared" si="14"/>
        <v>#DIV/0!</v>
      </c>
      <c r="U132" s="1" t="e">
        <f t="shared" si="14"/>
        <v>#DIV/0!</v>
      </c>
      <c r="V132" s="1" t="e">
        <f t="shared" si="14"/>
        <v>#DIV/0!</v>
      </c>
      <c r="W132" s="1" t="e">
        <f t="shared" si="14"/>
        <v>#DIV/0!</v>
      </c>
      <c r="X132" s="1" t="e">
        <f t="shared" si="14"/>
        <v>#DIV/0!</v>
      </c>
      <c r="Y132" s="1" t="e">
        <f t="shared" si="14"/>
        <v>#DIV/0!</v>
      </c>
      <c r="Z132" s="1" t="e">
        <f t="shared" si="14"/>
        <v>#DIV/0!</v>
      </c>
      <c r="AA132" s="1" t="e">
        <f t="shared" ref="AA132:AH134" si="18">AA120/AA126*10</f>
        <v>#DIV/0!</v>
      </c>
      <c r="AB132" s="1" t="e">
        <f t="shared" si="18"/>
        <v>#DIV/0!</v>
      </c>
      <c r="AC132" s="1" t="e">
        <f t="shared" si="18"/>
        <v>#DIV/0!</v>
      </c>
      <c r="AD132" s="1" t="e">
        <f t="shared" si="18"/>
        <v>#DIV/0!</v>
      </c>
      <c r="AE132" s="1" t="e">
        <f t="shared" si="18"/>
        <v>#DIV/0!</v>
      </c>
      <c r="AF132" s="1" t="e">
        <f t="shared" si="18"/>
        <v>#DIV/0!</v>
      </c>
      <c r="AG132" s="1" t="e">
        <f t="shared" si="18"/>
        <v>#DIV/0!</v>
      </c>
      <c r="AH132" s="1" t="e">
        <f t="shared" si="18"/>
        <v>#DIV/0!</v>
      </c>
    </row>
    <row r="133" spans="2:34">
      <c r="B133" s="34"/>
      <c r="C133" s="34"/>
      <c r="D133" s="1" t="s">
        <v>43</v>
      </c>
      <c r="E133" s="1" t="e">
        <f t="shared" si="17"/>
        <v>#DIV/0!</v>
      </c>
      <c r="F133" s="1" t="e">
        <f t="shared" si="17"/>
        <v>#DIV/0!</v>
      </c>
      <c r="G133" s="1" t="e">
        <f t="shared" si="17"/>
        <v>#DIV/0!</v>
      </c>
      <c r="H133" s="1" t="e">
        <f t="shared" si="14"/>
        <v>#DIV/0!</v>
      </c>
      <c r="I133" s="1" t="e">
        <f t="shared" si="14"/>
        <v>#DIV/0!</v>
      </c>
      <c r="J133" s="1" t="e">
        <f t="shared" si="14"/>
        <v>#DIV/0!</v>
      </c>
      <c r="K133" s="1" t="e">
        <f t="shared" si="14"/>
        <v>#DIV/0!</v>
      </c>
      <c r="L133" s="1" t="e">
        <f t="shared" si="14"/>
        <v>#DIV/0!</v>
      </c>
      <c r="M133" s="1" t="e">
        <f t="shared" si="14"/>
        <v>#DIV/0!</v>
      </c>
      <c r="N133" s="1" t="e">
        <f t="shared" si="14"/>
        <v>#DIV/0!</v>
      </c>
      <c r="O133" s="1" t="e">
        <f t="shared" si="14"/>
        <v>#DIV/0!</v>
      </c>
      <c r="P133" s="1" t="e">
        <f t="shared" si="14"/>
        <v>#DIV/0!</v>
      </c>
      <c r="Q133" s="1" t="e">
        <f t="shared" si="14"/>
        <v>#DIV/0!</v>
      </c>
      <c r="R133" s="1" t="e">
        <f t="shared" si="14"/>
        <v>#DIV/0!</v>
      </c>
      <c r="S133" s="1" t="e">
        <f t="shared" si="14"/>
        <v>#DIV/0!</v>
      </c>
      <c r="T133" s="1" t="e">
        <f t="shared" si="14"/>
        <v>#DIV/0!</v>
      </c>
      <c r="U133" s="1" t="e">
        <f t="shared" si="14"/>
        <v>#DIV/0!</v>
      </c>
      <c r="V133" s="1" t="e">
        <f t="shared" si="14"/>
        <v>#DIV/0!</v>
      </c>
      <c r="W133" s="1" t="e">
        <f t="shared" si="14"/>
        <v>#DIV/0!</v>
      </c>
      <c r="X133" s="1" t="e">
        <f t="shared" si="14"/>
        <v>#DIV/0!</v>
      </c>
      <c r="Y133" s="1" t="e">
        <f t="shared" si="14"/>
        <v>#DIV/0!</v>
      </c>
      <c r="Z133" s="1" t="e">
        <f t="shared" si="14"/>
        <v>#DIV/0!</v>
      </c>
      <c r="AA133" s="1" t="e">
        <f t="shared" si="18"/>
        <v>#DIV/0!</v>
      </c>
      <c r="AB133" s="1" t="e">
        <f t="shared" si="18"/>
        <v>#DIV/0!</v>
      </c>
      <c r="AC133" s="1" t="e">
        <f t="shared" si="18"/>
        <v>#DIV/0!</v>
      </c>
      <c r="AD133" s="1" t="e">
        <f t="shared" si="18"/>
        <v>#DIV/0!</v>
      </c>
      <c r="AE133" s="1" t="e">
        <f t="shared" si="18"/>
        <v>#DIV/0!</v>
      </c>
      <c r="AF133" s="1" t="e">
        <f t="shared" si="18"/>
        <v>#DIV/0!</v>
      </c>
      <c r="AG133" s="1" t="e">
        <f t="shared" si="18"/>
        <v>#DIV/0!</v>
      </c>
      <c r="AH133" s="1" t="e">
        <f t="shared" si="18"/>
        <v>#DIV/0!</v>
      </c>
    </row>
    <row r="134" spans="2:34">
      <c r="B134" s="34"/>
      <c r="C134" s="34"/>
      <c r="D134" s="1" t="s">
        <v>44</v>
      </c>
      <c r="E134" s="1" t="e">
        <f t="shared" si="17"/>
        <v>#DIV/0!</v>
      </c>
      <c r="F134" s="1" t="e">
        <f t="shared" si="17"/>
        <v>#DIV/0!</v>
      </c>
      <c r="G134" s="1" t="e">
        <f t="shared" si="17"/>
        <v>#DIV/0!</v>
      </c>
      <c r="H134" s="1" t="e">
        <f t="shared" si="14"/>
        <v>#DIV/0!</v>
      </c>
      <c r="I134" s="1" t="e">
        <f t="shared" si="14"/>
        <v>#DIV/0!</v>
      </c>
      <c r="J134" s="1" t="e">
        <f t="shared" si="14"/>
        <v>#DIV/0!</v>
      </c>
      <c r="K134" s="1" t="e">
        <f t="shared" si="14"/>
        <v>#DIV/0!</v>
      </c>
      <c r="L134" s="1" t="e">
        <f t="shared" si="14"/>
        <v>#DIV/0!</v>
      </c>
      <c r="M134" s="1" t="e">
        <f t="shared" si="14"/>
        <v>#DIV/0!</v>
      </c>
      <c r="N134" s="1" t="e">
        <f t="shared" si="14"/>
        <v>#DIV/0!</v>
      </c>
      <c r="O134" s="1" t="e">
        <f t="shared" si="14"/>
        <v>#DIV/0!</v>
      </c>
      <c r="P134" s="1" t="e">
        <f t="shared" si="14"/>
        <v>#DIV/0!</v>
      </c>
      <c r="Q134" s="1" t="e">
        <f t="shared" si="14"/>
        <v>#DIV/0!</v>
      </c>
      <c r="R134" s="1" t="e">
        <f t="shared" si="14"/>
        <v>#DIV/0!</v>
      </c>
      <c r="S134" s="1" t="e">
        <f t="shared" si="14"/>
        <v>#DIV/0!</v>
      </c>
      <c r="T134" s="1" t="e">
        <f t="shared" si="14"/>
        <v>#DIV/0!</v>
      </c>
      <c r="U134" s="1" t="e">
        <f t="shared" si="14"/>
        <v>#DIV/0!</v>
      </c>
      <c r="V134" s="1" t="e">
        <f t="shared" si="14"/>
        <v>#DIV/0!</v>
      </c>
      <c r="W134" s="1" t="e">
        <f t="shared" si="14"/>
        <v>#DIV/0!</v>
      </c>
      <c r="X134" s="1" t="e">
        <f t="shared" si="14"/>
        <v>#DIV/0!</v>
      </c>
      <c r="Y134" s="1" t="e">
        <f t="shared" si="14"/>
        <v>#DIV/0!</v>
      </c>
      <c r="Z134" s="1" t="e">
        <f t="shared" si="14"/>
        <v>#DIV/0!</v>
      </c>
      <c r="AA134" s="1" t="e">
        <f t="shared" si="18"/>
        <v>#DIV/0!</v>
      </c>
      <c r="AB134" s="1" t="e">
        <f t="shared" si="18"/>
        <v>#DIV/0!</v>
      </c>
      <c r="AC134" s="1" t="e">
        <f t="shared" si="18"/>
        <v>#DIV/0!</v>
      </c>
      <c r="AD134" s="1" t="e">
        <f t="shared" si="18"/>
        <v>#DIV/0!</v>
      </c>
      <c r="AE134" s="1" t="e">
        <f t="shared" si="18"/>
        <v>#DIV/0!</v>
      </c>
      <c r="AF134" s="1" t="e">
        <f t="shared" si="18"/>
        <v>#DIV/0!</v>
      </c>
      <c r="AG134" s="1" t="e">
        <f t="shared" si="18"/>
        <v>#DIV/0!</v>
      </c>
      <c r="AH134" s="1" t="e">
        <f t="shared" si="18"/>
        <v>#DIV/0!</v>
      </c>
    </row>
    <row r="135" spans="2:34">
      <c r="B135" s="34"/>
      <c r="C135" s="34"/>
      <c r="D135" s="1" t="s">
        <v>45</v>
      </c>
      <c r="E135" s="1" t="e">
        <f t="shared" ref="E135:G135" si="19">E123/E129*1000</f>
        <v>#DIV/0!</v>
      </c>
      <c r="F135" s="1" t="e">
        <f t="shared" si="19"/>
        <v>#DIV/0!</v>
      </c>
      <c r="G135" s="1" t="e">
        <f t="shared" si="19"/>
        <v>#DIV/0!</v>
      </c>
      <c r="H135" s="1" t="e">
        <f t="shared" si="14"/>
        <v>#DIV/0!</v>
      </c>
      <c r="I135" s="1" t="e">
        <f t="shared" si="14"/>
        <v>#DIV/0!</v>
      </c>
      <c r="J135" s="1" t="e">
        <f t="shared" si="14"/>
        <v>#DIV/0!</v>
      </c>
      <c r="K135" s="1" t="e">
        <f t="shared" si="14"/>
        <v>#DIV/0!</v>
      </c>
      <c r="L135" s="1" t="e">
        <f t="shared" si="14"/>
        <v>#DIV/0!</v>
      </c>
      <c r="M135" s="1" t="e">
        <f t="shared" si="14"/>
        <v>#DIV/0!</v>
      </c>
      <c r="N135" s="1" t="e">
        <f t="shared" si="14"/>
        <v>#DIV/0!</v>
      </c>
      <c r="O135" s="1" t="e">
        <f t="shared" si="14"/>
        <v>#DIV/0!</v>
      </c>
      <c r="P135" s="1" t="e">
        <f t="shared" si="14"/>
        <v>#DIV/0!</v>
      </c>
      <c r="Q135" s="1" t="e">
        <f t="shared" si="14"/>
        <v>#DIV/0!</v>
      </c>
      <c r="R135" s="1" t="e">
        <f t="shared" si="14"/>
        <v>#DIV/0!</v>
      </c>
      <c r="S135" s="1" t="e">
        <f t="shared" si="14"/>
        <v>#DIV/0!</v>
      </c>
      <c r="T135" s="1" t="e">
        <f t="shared" si="14"/>
        <v>#DIV/0!</v>
      </c>
      <c r="U135" s="1" t="e">
        <f t="shared" si="14"/>
        <v>#DIV/0!</v>
      </c>
      <c r="V135" s="1" t="e">
        <f t="shared" si="14"/>
        <v>#DIV/0!</v>
      </c>
      <c r="W135" s="1" t="e">
        <f t="shared" si="14"/>
        <v>#DIV/0!</v>
      </c>
      <c r="X135" s="1" t="e">
        <f t="shared" si="14"/>
        <v>#DIV/0!</v>
      </c>
      <c r="Y135" s="1" t="e">
        <f t="shared" si="14"/>
        <v>#DIV/0!</v>
      </c>
      <c r="Z135" s="1" t="e">
        <f t="shared" si="14"/>
        <v>#DIV/0!</v>
      </c>
      <c r="AA135" s="1" t="e">
        <f t="shared" ref="AA135:AH135" si="20">AA123/AA129*1000</f>
        <v>#DIV/0!</v>
      </c>
      <c r="AB135" s="1" t="e">
        <f t="shared" si="20"/>
        <v>#DIV/0!</v>
      </c>
      <c r="AC135" s="1" t="e">
        <f t="shared" si="20"/>
        <v>#DIV/0!</v>
      </c>
      <c r="AD135" s="1" t="e">
        <f t="shared" si="20"/>
        <v>#DIV/0!</v>
      </c>
      <c r="AE135" s="1" t="e">
        <f t="shared" si="20"/>
        <v>#DIV/0!</v>
      </c>
      <c r="AF135" s="1" t="e">
        <f t="shared" si="20"/>
        <v>#DIV/0!</v>
      </c>
      <c r="AG135" s="1" t="e">
        <f t="shared" si="20"/>
        <v>#DIV/0!</v>
      </c>
      <c r="AH135" s="1" t="e">
        <f t="shared" si="20"/>
        <v>#DIV/0!</v>
      </c>
    </row>
    <row r="136" spans="2:34">
      <c r="B136" s="34"/>
      <c r="C136" s="34" t="s">
        <v>59</v>
      </c>
      <c r="D136" s="1" t="s">
        <v>40</v>
      </c>
    </row>
    <row r="137" spans="2:34">
      <c r="B137" s="34"/>
      <c r="C137" s="34"/>
      <c r="D137" s="1" t="s">
        <v>41</v>
      </c>
    </row>
    <row r="138" spans="2:34">
      <c r="B138" s="34"/>
      <c r="C138" s="34"/>
      <c r="D138" s="1" t="s">
        <v>42</v>
      </c>
    </row>
    <row r="139" spans="2:34">
      <c r="B139" s="34"/>
      <c r="C139" s="34"/>
      <c r="D139" s="1" t="s">
        <v>43</v>
      </c>
    </row>
    <row r="140" spans="2:34">
      <c r="B140" s="34"/>
      <c r="C140" s="34"/>
      <c r="D140" s="1" t="s">
        <v>44</v>
      </c>
    </row>
    <row r="141" spans="2:34">
      <c r="B141" s="34"/>
      <c r="C141" s="34"/>
      <c r="D141" s="1" t="s">
        <v>45</v>
      </c>
    </row>
    <row r="142" spans="2:34">
      <c r="B142" s="34" t="s">
        <v>60</v>
      </c>
      <c r="C142" s="34" t="s">
        <v>56</v>
      </c>
      <c r="D142" s="1" t="s">
        <v>61</v>
      </c>
    </row>
    <row r="143" spans="2:34">
      <c r="B143" s="34"/>
      <c r="C143" s="34"/>
      <c r="D143" s="1" t="s">
        <v>62</v>
      </c>
    </row>
    <row r="144" spans="2:34">
      <c r="B144" s="34"/>
      <c r="C144" s="34"/>
      <c r="D144" s="1" t="s">
        <v>63</v>
      </c>
    </row>
    <row r="145" spans="2:34">
      <c r="B145" s="34"/>
      <c r="C145" s="34"/>
      <c r="D145" s="1" t="s">
        <v>40</v>
      </c>
    </row>
    <row r="146" spans="2:34">
      <c r="B146" s="34"/>
      <c r="C146" s="34"/>
      <c r="D146" s="1" t="s">
        <v>41</v>
      </c>
    </row>
    <row r="147" spans="2:34">
      <c r="B147" s="34"/>
      <c r="C147" s="34"/>
      <c r="D147" s="1" t="s">
        <v>42</v>
      </c>
    </row>
    <row r="148" spans="2:34">
      <c r="B148" s="34"/>
      <c r="C148" s="34"/>
      <c r="D148" s="1" t="s">
        <v>43</v>
      </c>
    </row>
    <row r="149" spans="2:34">
      <c r="B149" s="34"/>
      <c r="C149" s="34"/>
      <c r="D149" s="1" t="s">
        <v>44</v>
      </c>
    </row>
    <row r="150" spans="2:34">
      <c r="B150" s="34"/>
      <c r="C150" s="34"/>
      <c r="D150" s="1" t="s">
        <v>64</v>
      </c>
    </row>
    <row r="151" spans="2:34">
      <c r="B151" s="34"/>
      <c r="C151" s="34"/>
      <c r="D151" s="1" t="s">
        <v>65</v>
      </c>
    </row>
    <row r="152" spans="2:34">
      <c r="B152" s="34"/>
      <c r="C152" s="34"/>
      <c r="D152" s="1" t="s">
        <v>46</v>
      </c>
    </row>
    <row r="153" spans="2:34">
      <c r="B153" s="34"/>
      <c r="C153" s="34"/>
      <c r="D153" s="1" t="s">
        <v>47</v>
      </c>
    </row>
    <row r="154" spans="2:34">
      <c r="B154" s="34"/>
      <c r="C154" s="34"/>
      <c r="D154" s="1" t="s">
        <v>48</v>
      </c>
    </row>
    <row r="155" spans="2:34">
      <c r="B155" s="27" t="s">
        <v>66</v>
      </c>
      <c r="C155" s="28"/>
      <c r="D155" s="1" t="s">
        <v>67</v>
      </c>
    </row>
    <row r="156" spans="2:34">
      <c r="B156" s="29"/>
      <c r="C156" s="30"/>
      <c r="D156" s="1" t="s">
        <v>68</v>
      </c>
    </row>
    <row r="157" spans="2:34">
      <c r="B157" s="31"/>
      <c r="C157" s="32"/>
      <c r="D157" s="1" t="s">
        <v>69</v>
      </c>
    </row>
    <row r="158" spans="2:34">
      <c r="B158" s="27" t="s">
        <v>70</v>
      </c>
      <c r="C158" s="28"/>
      <c r="D158" s="1" t="s">
        <v>63</v>
      </c>
      <c r="E158" s="8" t="e">
        <f t="shared" ref="E158:F158" si="21">(E53-E54)/E53*100</f>
        <v>#DIV/0!</v>
      </c>
      <c r="F158" s="8" t="e">
        <f t="shared" si="21"/>
        <v>#DIV/0!</v>
      </c>
      <c r="G158" s="8" t="e">
        <f>(G53-G54)/G53*100</f>
        <v>#DIV/0!</v>
      </c>
      <c r="H158" s="8" t="e">
        <f t="shared" ref="H158:AH158" si="22">(H53-H54)/H53*100</f>
        <v>#DIV/0!</v>
      </c>
      <c r="I158" s="8" t="e">
        <f t="shared" si="22"/>
        <v>#DIV/0!</v>
      </c>
      <c r="J158" s="8" t="e">
        <f t="shared" si="22"/>
        <v>#DIV/0!</v>
      </c>
      <c r="K158" s="8" t="e">
        <f t="shared" si="22"/>
        <v>#DIV/0!</v>
      </c>
      <c r="L158" s="8" t="e">
        <f t="shared" si="22"/>
        <v>#DIV/0!</v>
      </c>
      <c r="M158" s="8" t="e">
        <f t="shared" si="22"/>
        <v>#DIV/0!</v>
      </c>
      <c r="N158" s="8" t="e">
        <f t="shared" si="22"/>
        <v>#DIV/0!</v>
      </c>
      <c r="O158" s="8" t="e">
        <f t="shared" si="22"/>
        <v>#DIV/0!</v>
      </c>
      <c r="P158" s="8" t="e">
        <f t="shared" si="22"/>
        <v>#DIV/0!</v>
      </c>
      <c r="Q158" s="8" t="e">
        <f t="shared" si="22"/>
        <v>#DIV/0!</v>
      </c>
      <c r="R158" s="8" t="e">
        <f t="shared" si="22"/>
        <v>#DIV/0!</v>
      </c>
      <c r="S158" s="8" t="e">
        <f t="shared" si="22"/>
        <v>#DIV/0!</v>
      </c>
      <c r="T158" s="8" t="e">
        <f t="shared" si="22"/>
        <v>#DIV/0!</v>
      </c>
      <c r="U158" s="8" t="e">
        <f t="shared" si="22"/>
        <v>#DIV/0!</v>
      </c>
      <c r="V158" s="8" t="e">
        <f t="shared" si="22"/>
        <v>#DIV/0!</v>
      </c>
      <c r="W158" s="8" t="e">
        <f t="shared" si="22"/>
        <v>#DIV/0!</v>
      </c>
      <c r="X158" s="8" t="e">
        <f t="shared" si="22"/>
        <v>#DIV/0!</v>
      </c>
      <c r="Y158" s="8" t="e">
        <f t="shared" si="22"/>
        <v>#DIV/0!</v>
      </c>
      <c r="Z158" s="8" t="e">
        <f t="shared" si="22"/>
        <v>#DIV/0!</v>
      </c>
      <c r="AA158" s="8" t="e">
        <f t="shared" si="22"/>
        <v>#DIV/0!</v>
      </c>
      <c r="AB158" s="8" t="e">
        <f t="shared" si="22"/>
        <v>#DIV/0!</v>
      </c>
      <c r="AC158" s="8" t="e">
        <f t="shared" si="22"/>
        <v>#DIV/0!</v>
      </c>
      <c r="AD158" s="8" t="e">
        <f t="shared" si="22"/>
        <v>#DIV/0!</v>
      </c>
      <c r="AE158" s="8" t="e">
        <f t="shared" si="22"/>
        <v>#DIV/0!</v>
      </c>
      <c r="AF158" s="8" t="e">
        <f t="shared" si="22"/>
        <v>#DIV/0!</v>
      </c>
      <c r="AG158" s="8" t="e">
        <f t="shared" si="22"/>
        <v>#DIV/0!</v>
      </c>
      <c r="AH158" s="8" t="e">
        <f t="shared" si="22"/>
        <v>#DIV/0!</v>
      </c>
    </row>
    <row r="159" spans="2:34">
      <c r="B159" s="29"/>
      <c r="C159" s="30"/>
      <c r="D159" s="1" t="s">
        <v>71</v>
      </c>
      <c r="E159" s="8" t="e">
        <f t="shared" ref="E159:F159" si="23">(E54-E58)/E54*100</f>
        <v>#DIV/0!</v>
      </c>
      <c r="F159" s="8" t="e">
        <f t="shared" si="23"/>
        <v>#DIV/0!</v>
      </c>
      <c r="G159" s="8" t="e">
        <f t="shared" ref="G159:AH159" si="24">(G54-G58)/G54*100</f>
        <v>#DIV/0!</v>
      </c>
      <c r="H159" s="8" t="e">
        <f t="shared" si="24"/>
        <v>#DIV/0!</v>
      </c>
      <c r="I159" s="8" t="e">
        <f t="shared" si="24"/>
        <v>#DIV/0!</v>
      </c>
      <c r="J159" s="8" t="e">
        <f t="shared" si="24"/>
        <v>#DIV/0!</v>
      </c>
      <c r="K159" s="8" t="e">
        <f t="shared" si="24"/>
        <v>#DIV/0!</v>
      </c>
      <c r="L159" s="8" t="e">
        <f t="shared" si="24"/>
        <v>#DIV/0!</v>
      </c>
      <c r="M159" s="8" t="e">
        <f t="shared" si="24"/>
        <v>#DIV/0!</v>
      </c>
      <c r="N159" s="8" t="e">
        <f t="shared" si="24"/>
        <v>#DIV/0!</v>
      </c>
      <c r="O159" s="8" t="e">
        <f t="shared" si="24"/>
        <v>#DIV/0!</v>
      </c>
      <c r="P159" s="8" t="e">
        <f t="shared" si="24"/>
        <v>#DIV/0!</v>
      </c>
      <c r="Q159" s="8" t="e">
        <f t="shared" si="24"/>
        <v>#DIV/0!</v>
      </c>
      <c r="R159" s="8" t="e">
        <f t="shared" si="24"/>
        <v>#DIV/0!</v>
      </c>
      <c r="S159" s="8" t="e">
        <f t="shared" si="24"/>
        <v>#DIV/0!</v>
      </c>
      <c r="T159" s="8" t="e">
        <f t="shared" si="24"/>
        <v>#DIV/0!</v>
      </c>
      <c r="U159" s="8" t="e">
        <f t="shared" si="24"/>
        <v>#DIV/0!</v>
      </c>
      <c r="V159" s="8" t="e">
        <f t="shared" si="24"/>
        <v>#DIV/0!</v>
      </c>
      <c r="W159" s="8" t="e">
        <f t="shared" si="24"/>
        <v>#DIV/0!</v>
      </c>
      <c r="X159" s="8" t="e">
        <f t="shared" si="24"/>
        <v>#DIV/0!</v>
      </c>
      <c r="Y159" s="8" t="e">
        <f t="shared" si="24"/>
        <v>#DIV/0!</v>
      </c>
      <c r="Z159" s="8" t="e">
        <f t="shared" si="24"/>
        <v>#DIV/0!</v>
      </c>
      <c r="AA159" s="8" t="e">
        <f t="shared" si="24"/>
        <v>#DIV/0!</v>
      </c>
      <c r="AB159" s="8" t="e">
        <f t="shared" si="24"/>
        <v>#DIV/0!</v>
      </c>
      <c r="AC159" s="8" t="e">
        <f t="shared" si="24"/>
        <v>#DIV/0!</v>
      </c>
      <c r="AD159" s="8" t="e">
        <f t="shared" si="24"/>
        <v>#DIV/0!</v>
      </c>
      <c r="AE159" s="8" t="e">
        <f t="shared" si="24"/>
        <v>#DIV/0!</v>
      </c>
      <c r="AF159" s="8" t="e">
        <f t="shared" si="24"/>
        <v>#DIV/0!</v>
      </c>
      <c r="AG159" s="8" t="e">
        <f t="shared" si="24"/>
        <v>#DIV/0!</v>
      </c>
      <c r="AH159" s="8" t="e">
        <f t="shared" si="24"/>
        <v>#DIV/0!</v>
      </c>
    </row>
    <row r="160" spans="2:34">
      <c r="B160" s="29"/>
      <c r="C160" s="30"/>
      <c r="D160" s="1" t="s">
        <v>72</v>
      </c>
      <c r="E160" s="8" t="e">
        <f t="shared" ref="E160:F160" si="25">(E50-E51)/E50*100</f>
        <v>#DIV/0!</v>
      </c>
      <c r="F160" s="8" t="e">
        <f t="shared" si="25"/>
        <v>#DIV/0!</v>
      </c>
      <c r="G160" s="8" t="e">
        <f t="shared" ref="G160:AH160" si="26">(G50-G51)/G50*100</f>
        <v>#DIV/0!</v>
      </c>
      <c r="H160" s="8" t="e">
        <f t="shared" si="26"/>
        <v>#DIV/0!</v>
      </c>
      <c r="I160" s="8" t="e">
        <f t="shared" si="26"/>
        <v>#DIV/0!</v>
      </c>
      <c r="J160" s="8" t="e">
        <f t="shared" si="26"/>
        <v>#DIV/0!</v>
      </c>
      <c r="K160" s="8" t="e">
        <f t="shared" si="26"/>
        <v>#DIV/0!</v>
      </c>
      <c r="L160" s="8" t="e">
        <f t="shared" si="26"/>
        <v>#DIV/0!</v>
      </c>
      <c r="M160" s="8" t="e">
        <f t="shared" si="26"/>
        <v>#DIV/0!</v>
      </c>
      <c r="N160" s="8" t="e">
        <f t="shared" si="26"/>
        <v>#DIV/0!</v>
      </c>
      <c r="O160" s="8" t="e">
        <f t="shared" si="26"/>
        <v>#DIV/0!</v>
      </c>
      <c r="P160" s="8" t="e">
        <f t="shared" si="26"/>
        <v>#DIV/0!</v>
      </c>
      <c r="Q160" s="8" t="e">
        <f t="shared" si="26"/>
        <v>#DIV/0!</v>
      </c>
      <c r="R160" s="8" t="e">
        <f t="shared" si="26"/>
        <v>#DIV/0!</v>
      </c>
      <c r="S160" s="8" t="e">
        <f t="shared" si="26"/>
        <v>#DIV/0!</v>
      </c>
      <c r="T160" s="8" t="e">
        <f t="shared" si="26"/>
        <v>#DIV/0!</v>
      </c>
      <c r="U160" s="8" t="e">
        <f t="shared" si="26"/>
        <v>#DIV/0!</v>
      </c>
      <c r="V160" s="8" t="e">
        <f t="shared" si="26"/>
        <v>#DIV/0!</v>
      </c>
      <c r="W160" s="8" t="e">
        <f t="shared" si="26"/>
        <v>#DIV/0!</v>
      </c>
      <c r="X160" s="8" t="e">
        <f t="shared" si="26"/>
        <v>#DIV/0!</v>
      </c>
      <c r="Y160" s="8" t="e">
        <f t="shared" si="26"/>
        <v>#DIV/0!</v>
      </c>
      <c r="Z160" s="8" t="e">
        <f t="shared" si="26"/>
        <v>#DIV/0!</v>
      </c>
      <c r="AA160" s="8" t="e">
        <f t="shared" si="26"/>
        <v>#DIV/0!</v>
      </c>
      <c r="AB160" s="8" t="e">
        <f t="shared" si="26"/>
        <v>#DIV/0!</v>
      </c>
      <c r="AC160" s="8" t="e">
        <f t="shared" si="26"/>
        <v>#DIV/0!</v>
      </c>
      <c r="AD160" s="8" t="e">
        <f t="shared" si="26"/>
        <v>#DIV/0!</v>
      </c>
      <c r="AE160" s="8" t="e">
        <f t="shared" si="26"/>
        <v>#DIV/0!</v>
      </c>
      <c r="AF160" s="8" t="e">
        <f t="shared" si="26"/>
        <v>#DIV/0!</v>
      </c>
      <c r="AG160" s="8" t="e">
        <f t="shared" si="26"/>
        <v>#DIV/0!</v>
      </c>
      <c r="AH160" s="8" t="e">
        <f t="shared" si="26"/>
        <v>#DIV/0!</v>
      </c>
    </row>
    <row r="161" spans="2:35">
      <c r="B161" s="31"/>
      <c r="C161" s="32"/>
      <c r="D161" s="1" t="s">
        <v>73</v>
      </c>
      <c r="E161" s="8" t="e">
        <f t="shared" ref="E161:F161" si="27">(E50-E66)/E50*100</f>
        <v>#DIV/0!</v>
      </c>
      <c r="F161" s="8" t="e">
        <f t="shared" si="27"/>
        <v>#DIV/0!</v>
      </c>
      <c r="G161" s="8" t="e">
        <f t="shared" ref="G161:AH161" si="28">(G50-G66)/G50*100</f>
        <v>#DIV/0!</v>
      </c>
      <c r="H161" s="8" t="e">
        <f t="shared" si="28"/>
        <v>#DIV/0!</v>
      </c>
      <c r="I161" s="8" t="e">
        <f t="shared" si="28"/>
        <v>#DIV/0!</v>
      </c>
      <c r="J161" s="8" t="e">
        <f t="shared" si="28"/>
        <v>#DIV/0!</v>
      </c>
      <c r="K161" s="8" t="e">
        <f t="shared" si="28"/>
        <v>#DIV/0!</v>
      </c>
      <c r="L161" s="8" t="e">
        <f t="shared" si="28"/>
        <v>#DIV/0!</v>
      </c>
      <c r="M161" s="8" t="e">
        <f t="shared" si="28"/>
        <v>#DIV/0!</v>
      </c>
      <c r="N161" s="8" t="e">
        <f t="shared" si="28"/>
        <v>#DIV/0!</v>
      </c>
      <c r="O161" s="8" t="e">
        <f t="shared" si="28"/>
        <v>#DIV/0!</v>
      </c>
      <c r="P161" s="8" t="e">
        <f t="shared" si="28"/>
        <v>#DIV/0!</v>
      </c>
      <c r="Q161" s="8" t="e">
        <f t="shared" si="28"/>
        <v>#DIV/0!</v>
      </c>
      <c r="R161" s="8" t="e">
        <f t="shared" si="28"/>
        <v>#DIV/0!</v>
      </c>
      <c r="S161" s="8" t="e">
        <f t="shared" si="28"/>
        <v>#DIV/0!</v>
      </c>
      <c r="T161" s="8" t="e">
        <f t="shared" si="28"/>
        <v>#DIV/0!</v>
      </c>
      <c r="U161" s="8" t="e">
        <f t="shared" si="28"/>
        <v>#DIV/0!</v>
      </c>
      <c r="V161" s="8" t="e">
        <f t="shared" si="28"/>
        <v>#DIV/0!</v>
      </c>
      <c r="W161" s="8" t="e">
        <f t="shared" si="28"/>
        <v>#DIV/0!</v>
      </c>
      <c r="X161" s="8" t="e">
        <f t="shared" si="28"/>
        <v>#DIV/0!</v>
      </c>
      <c r="Y161" s="8" t="e">
        <f t="shared" si="28"/>
        <v>#DIV/0!</v>
      </c>
      <c r="Z161" s="8" t="e">
        <f t="shared" si="28"/>
        <v>#DIV/0!</v>
      </c>
      <c r="AA161" s="8" t="e">
        <f t="shared" si="28"/>
        <v>#DIV/0!</v>
      </c>
      <c r="AB161" s="8" t="e">
        <f t="shared" si="28"/>
        <v>#DIV/0!</v>
      </c>
      <c r="AC161" s="8" t="e">
        <f t="shared" si="28"/>
        <v>#DIV/0!</v>
      </c>
      <c r="AD161" s="8" t="e">
        <f t="shared" si="28"/>
        <v>#DIV/0!</v>
      </c>
      <c r="AE161" s="8" t="e">
        <f t="shared" si="28"/>
        <v>#DIV/0!</v>
      </c>
      <c r="AF161" s="8" t="e">
        <f t="shared" si="28"/>
        <v>#DIV/0!</v>
      </c>
      <c r="AG161" s="8" t="e">
        <f t="shared" si="28"/>
        <v>#DIV/0!</v>
      </c>
      <c r="AH161" s="8" t="e">
        <f t="shared" si="28"/>
        <v>#DIV/0!</v>
      </c>
    </row>
    <row r="162" spans="2:35">
      <c r="B162" s="27" t="s">
        <v>74</v>
      </c>
      <c r="C162" s="28"/>
      <c r="D162" s="1" t="s">
        <v>63</v>
      </c>
      <c r="E162" s="8" t="e">
        <f t="shared" ref="E162:F162" si="29">(E70-E71)/E70*100</f>
        <v>#DIV/0!</v>
      </c>
      <c r="F162" s="8" t="e">
        <f t="shared" si="29"/>
        <v>#DIV/0!</v>
      </c>
      <c r="G162" s="8" t="e">
        <f t="shared" ref="G162:AH162" si="30">(G70-G71)/G70*100</f>
        <v>#DIV/0!</v>
      </c>
      <c r="H162" s="8" t="e">
        <f t="shared" si="30"/>
        <v>#DIV/0!</v>
      </c>
      <c r="I162" s="8" t="e">
        <f t="shared" si="30"/>
        <v>#DIV/0!</v>
      </c>
      <c r="J162" s="8" t="e">
        <f t="shared" si="30"/>
        <v>#DIV/0!</v>
      </c>
      <c r="K162" s="8" t="e">
        <f t="shared" si="30"/>
        <v>#DIV/0!</v>
      </c>
      <c r="L162" s="8" t="e">
        <f t="shared" si="30"/>
        <v>#DIV/0!</v>
      </c>
      <c r="M162" s="8" t="e">
        <f t="shared" si="30"/>
        <v>#DIV/0!</v>
      </c>
      <c r="N162" s="8" t="e">
        <f t="shared" si="30"/>
        <v>#DIV/0!</v>
      </c>
      <c r="O162" s="8" t="e">
        <f t="shared" si="30"/>
        <v>#DIV/0!</v>
      </c>
      <c r="P162" s="8" t="e">
        <f t="shared" si="30"/>
        <v>#DIV/0!</v>
      </c>
      <c r="Q162" s="8" t="e">
        <f t="shared" si="30"/>
        <v>#DIV/0!</v>
      </c>
      <c r="R162" s="8" t="e">
        <f t="shared" si="30"/>
        <v>#DIV/0!</v>
      </c>
      <c r="S162" s="8" t="e">
        <f t="shared" si="30"/>
        <v>#DIV/0!</v>
      </c>
      <c r="T162" s="8" t="e">
        <f t="shared" si="30"/>
        <v>#DIV/0!</v>
      </c>
      <c r="U162" s="8" t="e">
        <f t="shared" si="30"/>
        <v>#DIV/0!</v>
      </c>
      <c r="V162" s="8" t="e">
        <f t="shared" si="30"/>
        <v>#DIV/0!</v>
      </c>
      <c r="W162" s="8" t="e">
        <f t="shared" si="30"/>
        <v>#DIV/0!</v>
      </c>
      <c r="X162" s="8" t="e">
        <f t="shared" si="30"/>
        <v>#DIV/0!</v>
      </c>
      <c r="Y162" s="8" t="e">
        <f t="shared" si="30"/>
        <v>#DIV/0!</v>
      </c>
      <c r="Z162" s="8" t="e">
        <f t="shared" si="30"/>
        <v>#DIV/0!</v>
      </c>
      <c r="AA162" s="8" t="e">
        <f t="shared" si="30"/>
        <v>#DIV/0!</v>
      </c>
      <c r="AB162" s="8" t="e">
        <f t="shared" si="30"/>
        <v>#DIV/0!</v>
      </c>
      <c r="AC162" s="8" t="e">
        <f t="shared" si="30"/>
        <v>#DIV/0!</v>
      </c>
      <c r="AD162" s="8" t="e">
        <f t="shared" si="30"/>
        <v>#DIV/0!</v>
      </c>
      <c r="AE162" s="8" t="e">
        <f t="shared" si="30"/>
        <v>#DIV/0!</v>
      </c>
      <c r="AF162" s="8" t="e">
        <f t="shared" si="30"/>
        <v>#DIV/0!</v>
      </c>
      <c r="AG162" s="8" t="e">
        <f t="shared" si="30"/>
        <v>#DIV/0!</v>
      </c>
      <c r="AH162" s="8" t="e">
        <f t="shared" si="30"/>
        <v>#DIV/0!</v>
      </c>
    </row>
    <row r="163" spans="2:35">
      <c r="B163" s="29"/>
      <c r="C163" s="30"/>
      <c r="D163" s="1" t="s">
        <v>71</v>
      </c>
      <c r="E163" s="8" t="e">
        <f t="shared" ref="E163:F163" si="31">(E71-E76)/E71*100</f>
        <v>#DIV/0!</v>
      </c>
      <c r="F163" s="8" t="e">
        <f t="shared" si="31"/>
        <v>#DIV/0!</v>
      </c>
      <c r="G163" s="8" t="e">
        <f t="shared" ref="G163:AH163" si="32">(G71-G76)/G71*100</f>
        <v>#DIV/0!</v>
      </c>
      <c r="H163" s="8" t="e">
        <f t="shared" si="32"/>
        <v>#DIV/0!</v>
      </c>
      <c r="I163" s="8" t="e">
        <f t="shared" si="32"/>
        <v>#DIV/0!</v>
      </c>
      <c r="J163" s="8" t="e">
        <f t="shared" si="32"/>
        <v>#DIV/0!</v>
      </c>
      <c r="K163" s="8" t="e">
        <f t="shared" si="32"/>
        <v>#DIV/0!</v>
      </c>
      <c r="L163" s="8" t="e">
        <f t="shared" si="32"/>
        <v>#DIV/0!</v>
      </c>
      <c r="M163" s="8" t="e">
        <f t="shared" si="32"/>
        <v>#DIV/0!</v>
      </c>
      <c r="N163" s="8" t="e">
        <f t="shared" si="32"/>
        <v>#DIV/0!</v>
      </c>
      <c r="O163" s="8" t="e">
        <f t="shared" si="32"/>
        <v>#DIV/0!</v>
      </c>
      <c r="P163" s="8" t="e">
        <f t="shared" si="32"/>
        <v>#DIV/0!</v>
      </c>
      <c r="Q163" s="8" t="e">
        <f t="shared" si="32"/>
        <v>#DIV/0!</v>
      </c>
      <c r="R163" s="8" t="e">
        <f t="shared" si="32"/>
        <v>#DIV/0!</v>
      </c>
      <c r="S163" s="8" t="e">
        <f t="shared" si="32"/>
        <v>#DIV/0!</v>
      </c>
      <c r="T163" s="8" t="e">
        <f t="shared" si="32"/>
        <v>#DIV/0!</v>
      </c>
      <c r="U163" s="8" t="e">
        <f t="shared" si="32"/>
        <v>#DIV/0!</v>
      </c>
      <c r="V163" s="8" t="e">
        <f t="shared" si="32"/>
        <v>#DIV/0!</v>
      </c>
      <c r="W163" s="8" t="e">
        <f t="shared" si="32"/>
        <v>#DIV/0!</v>
      </c>
      <c r="X163" s="8" t="e">
        <f t="shared" si="32"/>
        <v>#DIV/0!</v>
      </c>
      <c r="Y163" s="8" t="e">
        <f t="shared" si="32"/>
        <v>#DIV/0!</v>
      </c>
      <c r="Z163" s="8" t="e">
        <f t="shared" si="32"/>
        <v>#DIV/0!</v>
      </c>
      <c r="AA163" s="8" t="e">
        <f t="shared" si="32"/>
        <v>#DIV/0!</v>
      </c>
      <c r="AB163" s="8" t="e">
        <f t="shared" si="32"/>
        <v>#DIV/0!</v>
      </c>
      <c r="AC163" s="8" t="e">
        <f t="shared" si="32"/>
        <v>#DIV/0!</v>
      </c>
      <c r="AD163" s="8" t="e">
        <f t="shared" si="32"/>
        <v>#DIV/0!</v>
      </c>
      <c r="AE163" s="8" t="e">
        <f t="shared" si="32"/>
        <v>#DIV/0!</v>
      </c>
      <c r="AF163" s="8" t="e">
        <f t="shared" si="32"/>
        <v>#DIV/0!</v>
      </c>
      <c r="AG163" s="8" t="e">
        <f t="shared" si="32"/>
        <v>#DIV/0!</v>
      </c>
      <c r="AH163" s="8" t="e">
        <f t="shared" si="32"/>
        <v>#DIV/0!</v>
      </c>
    </row>
    <row r="164" spans="2:35">
      <c r="B164" s="29"/>
      <c r="C164" s="30"/>
      <c r="D164" s="1" t="s">
        <v>72</v>
      </c>
      <c r="E164" s="8" t="e">
        <f t="shared" ref="E164:F164" si="33">(E67-E68)/E67*100</f>
        <v>#DIV/0!</v>
      </c>
      <c r="F164" s="8" t="e">
        <f t="shared" si="33"/>
        <v>#DIV/0!</v>
      </c>
      <c r="G164" s="8" t="e">
        <f t="shared" ref="G164:AH164" si="34">(G67-G68)/G67*100</f>
        <v>#DIV/0!</v>
      </c>
      <c r="H164" s="8" t="e">
        <f t="shared" si="34"/>
        <v>#DIV/0!</v>
      </c>
      <c r="I164" s="8" t="e">
        <f t="shared" si="34"/>
        <v>#DIV/0!</v>
      </c>
      <c r="J164" s="8" t="e">
        <f t="shared" si="34"/>
        <v>#DIV/0!</v>
      </c>
      <c r="K164" s="8" t="e">
        <f t="shared" si="34"/>
        <v>#DIV/0!</v>
      </c>
      <c r="L164" s="8" t="e">
        <f t="shared" si="34"/>
        <v>#DIV/0!</v>
      </c>
      <c r="M164" s="8" t="e">
        <f t="shared" si="34"/>
        <v>#DIV/0!</v>
      </c>
      <c r="N164" s="8" t="e">
        <f t="shared" si="34"/>
        <v>#DIV/0!</v>
      </c>
      <c r="O164" s="8" t="e">
        <f t="shared" si="34"/>
        <v>#DIV/0!</v>
      </c>
      <c r="P164" s="8" t="e">
        <f t="shared" si="34"/>
        <v>#DIV/0!</v>
      </c>
      <c r="Q164" s="8" t="e">
        <f t="shared" si="34"/>
        <v>#DIV/0!</v>
      </c>
      <c r="R164" s="8" t="e">
        <f t="shared" si="34"/>
        <v>#DIV/0!</v>
      </c>
      <c r="S164" s="8" t="e">
        <f t="shared" si="34"/>
        <v>#DIV/0!</v>
      </c>
      <c r="T164" s="8" t="e">
        <f t="shared" si="34"/>
        <v>#DIV/0!</v>
      </c>
      <c r="U164" s="8" t="e">
        <f t="shared" si="34"/>
        <v>#DIV/0!</v>
      </c>
      <c r="V164" s="8" t="e">
        <f t="shared" si="34"/>
        <v>#DIV/0!</v>
      </c>
      <c r="W164" s="8" t="e">
        <f t="shared" si="34"/>
        <v>#DIV/0!</v>
      </c>
      <c r="X164" s="8" t="e">
        <f t="shared" si="34"/>
        <v>#DIV/0!</v>
      </c>
      <c r="Y164" s="8" t="e">
        <f t="shared" si="34"/>
        <v>#DIV/0!</v>
      </c>
      <c r="Z164" s="8" t="e">
        <f t="shared" si="34"/>
        <v>#DIV/0!</v>
      </c>
      <c r="AA164" s="8" t="e">
        <f t="shared" si="34"/>
        <v>#DIV/0!</v>
      </c>
      <c r="AB164" s="8" t="e">
        <f t="shared" si="34"/>
        <v>#DIV/0!</v>
      </c>
      <c r="AC164" s="8" t="e">
        <f t="shared" si="34"/>
        <v>#DIV/0!</v>
      </c>
      <c r="AD164" s="8" t="e">
        <f t="shared" si="34"/>
        <v>#DIV/0!</v>
      </c>
      <c r="AE164" s="8" t="e">
        <f t="shared" si="34"/>
        <v>#DIV/0!</v>
      </c>
      <c r="AF164" s="8" t="e">
        <f t="shared" si="34"/>
        <v>#DIV/0!</v>
      </c>
      <c r="AG164" s="8" t="e">
        <f t="shared" si="34"/>
        <v>#DIV/0!</v>
      </c>
      <c r="AH164" s="8" t="e">
        <f t="shared" si="34"/>
        <v>#DIV/0!</v>
      </c>
    </row>
    <row r="165" spans="2:35">
      <c r="B165" s="31"/>
      <c r="C165" s="32"/>
      <c r="D165" s="1" t="s">
        <v>73</v>
      </c>
      <c r="E165" s="8" t="e">
        <f t="shared" ref="E165:F165" si="35">(E67-E83)/E67*100</f>
        <v>#DIV/0!</v>
      </c>
      <c r="F165" s="8" t="e">
        <f t="shared" si="35"/>
        <v>#DIV/0!</v>
      </c>
      <c r="G165" s="8" t="e">
        <f t="shared" ref="G165:AH165" si="36">(G67-G83)/G67*100</f>
        <v>#DIV/0!</v>
      </c>
      <c r="H165" s="8" t="e">
        <f t="shared" si="36"/>
        <v>#DIV/0!</v>
      </c>
      <c r="I165" s="8" t="e">
        <f t="shared" si="36"/>
        <v>#DIV/0!</v>
      </c>
      <c r="J165" s="8" t="e">
        <f t="shared" si="36"/>
        <v>#DIV/0!</v>
      </c>
      <c r="K165" s="8" t="e">
        <f t="shared" si="36"/>
        <v>#DIV/0!</v>
      </c>
      <c r="L165" s="8" t="e">
        <f t="shared" si="36"/>
        <v>#DIV/0!</v>
      </c>
      <c r="M165" s="8" t="e">
        <f t="shared" si="36"/>
        <v>#DIV/0!</v>
      </c>
      <c r="N165" s="8" t="e">
        <f t="shared" si="36"/>
        <v>#DIV/0!</v>
      </c>
      <c r="O165" s="8" t="e">
        <f t="shared" si="36"/>
        <v>#DIV/0!</v>
      </c>
      <c r="P165" s="8" t="e">
        <f t="shared" si="36"/>
        <v>#DIV/0!</v>
      </c>
      <c r="Q165" s="8" t="e">
        <f t="shared" si="36"/>
        <v>#DIV/0!</v>
      </c>
      <c r="R165" s="8" t="e">
        <f t="shared" si="36"/>
        <v>#DIV/0!</v>
      </c>
      <c r="S165" s="8" t="e">
        <f t="shared" si="36"/>
        <v>#DIV/0!</v>
      </c>
      <c r="T165" s="8" t="e">
        <f t="shared" si="36"/>
        <v>#DIV/0!</v>
      </c>
      <c r="U165" s="8" t="e">
        <f t="shared" si="36"/>
        <v>#DIV/0!</v>
      </c>
      <c r="V165" s="8" t="e">
        <f t="shared" si="36"/>
        <v>#DIV/0!</v>
      </c>
      <c r="W165" s="8" t="e">
        <f t="shared" si="36"/>
        <v>#DIV/0!</v>
      </c>
      <c r="X165" s="8" t="e">
        <f t="shared" si="36"/>
        <v>#DIV/0!</v>
      </c>
      <c r="Y165" s="8" t="e">
        <f t="shared" si="36"/>
        <v>#DIV/0!</v>
      </c>
      <c r="Z165" s="8" t="e">
        <f t="shared" si="36"/>
        <v>#DIV/0!</v>
      </c>
      <c r="AA165" s="8" t="e">
        <f t="shared" si="36"/>
        <v>#DIV/0!</v>
      </c>
      <c r="AB165" s="8" t="e">
        <f t="shared" si="36"/>
        <v>#DIV/0!</v>
      </c>
      <c r="AC165" s="8" t="e">
        <f t="shared" si="36"/>
        <v>#DIV/0!</v>
      </c>
      <c r="AD165" s="8" t="e">
        <f t="shared" si="36"/>
        <v>#DIV/0!</v>
      </c>
      <c r="AE165" s="8" t="e">
        <f t="shared" si="36"/>
        <v>#DIV/0!</v>
      </c>
      <c r="AF165" s="8" t="e">
        <f t="shared" si="36"/>
        <v>#DIV/0!</v>
      </c>
      <c r="AG165" s="8" t="e">
        <f t="shared" si="36"/>
        <v>#DIV/0!</v>
      </c>
      <c r="AH165" s="8" t="e">
        <f t="shared" si="36"/>
        <v>#DIV/0!</v>
      </c>
    </row>
    <row r="166" spans="2:35" ht="13">
      <c r="G166" s="16"/>
      <c r="AE166" s="33" t="s">
        <v>75</v>
      </c>
      <c r="AF166" s="33"/>
      <c r="AG166" s="16"/>
      <c r="AH166" s="16"/>
      <c r="AI166" s="16"/>
    </row>
    <row r="168" spans="2:35">
      <c r="G168" s="17"/>
      <c r="Q168" s="12"/>
      <c r="T168" s="12"/>
      <c r="W168" s="12"/>
      <c r="Z168" s="18"/>
      <c r="AD168" s="12"/>
      <c r="AF168" s="17"/>
      <c r="AG168" s="17"/>
      <c r="AH168" s="17"/>
      <c r="AI168" s="17"/>
    </row>
    <row r="169" spans="2:35">
      <c r="M169" s="19"/>
      <c r="N169" s="19"/>
      <c r="U169" s="20"/>
      <c r="V169" s="21"/>
      <c r="W169" s="21"/>
      <c r="X169" s="21"/>
      <c r="Y169" s="21"/>
      <c r="Z169" s="22"/>
      <c r="AA169" s="19"/>
      <c r="AB169" s="19"/>
      <c r="AC169" s="19"/>
      <c r="AD169" s="19"/>
      <c r="AF169" s="19"/>
      <c r="AG169" s="19"/>
      <c r="AH169" s="19"/>
      <c r="AI169" s="19"/>
    </row>
    <row r="170" spans="2:35" ht="14">
      <c r="G170" s="23"/>
      <c r="H170" s="24"/>
      <c r="I170" s="24"/>
      <c r="J170" s="24"/>
      <c r="K170" s="24"/>
      <c r="L170" s="24"/>
      <c r="M170" s="24"/>
      <c r="N170" s="24"/>
      <c r="O170" s="25"/>
      <c r="P170" s="25"/>
      <c r="T170" s="3"/>
      <c r="U170" s="10"/>
      <c r="V170" s="10"/>
      <c r="W170" s="10"/>
      <c r="X170" s="9"/>
      <c r="Y170" s="9"/>
      <c r="Z170" s="9"/>
      <c r="AA170" s="9"/>
      <c r="AB170" s="9"/>
      <c r="AC170" s="9"/>
      <c r="AD170" s="9"/>
      <c r="AE170" s="26"/>
      <c r="AF170" s="9"/>
      <c r="AG170" s="9"/>
      <c r="AH170" s="9"/>
      <c r="AI170" s="9"/>
    </row>
    <row r="171" spans="2:35">
      <c r="E171" s="9"/>
      <c r="M171" s="6"/>
      <c r="N171" s="6"/>
      <c r="O171" s="6"/>
      <c r="P171" s="6"/>
      <c r="T171" s="3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2:35"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6" spans="2:35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AF176" s="12"/>
      <c r="AG176" s="12"/>
      <c r="AH176" s="12"/>
      <c r="AI176" s="12"/>
    </row>
  </sheetData>
  <mergeCells count="24">
    <mergeCell ref="B2:D4"/>
    <mergeCell ref="E2:AD4"/>
    <mergeCell ref="AE2:AI4"/>
    <mergeCell ref="B5:D5"/>
    <mergeCell ref="B6:C7"/>
    <mergeCell ref="B8:C14"/>
    <mergeCell ref="B15:C23"/>
    <mergeCell ref="B24:C38"/>
    <mergeCell ref="B39:C49"/>
    <mergeCell ref="B50:C66"/>
    <mergeCell ref="B67:C83"/>
    <mergeCell ref="B84:C100"/>
    <mergeCell ref="B101:C117"/>
    <mergeCell ref="B118:B141"/>
    <mergeCell ref="C118:C123"/>
    <mergeCell ref="C124:C129"/>
    <mergeCell ref="C130:C135"/>
    <mergeCell ref="C136:C141"/>
    <mergeCell ref="B158:C161"/>
    <mergeCell ref="B162:C165"/>
    <mergeCell ref="AE166:AF166"/>
    <mergeCell ref="B142:B154"/>
    <mergeCell ref="C142:C154"/>
    <mergeCell ref="B155:C157"/>
  </mergeCells>
  <printOptions horizontalCentered="1" verticalCentered="1"/>
  <pageMargins left="0" right="0" top="0" bottom="0" header="0" footer="0"/>
  <pageSetup paperSize="9" scale="58" fitToHeight="0" orientation="landscape" useFirstPageNumber="1" r:id="rId1"/>
  <headerFooter scaleWithDoc="0"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online nya</vt:lpstr>
      <vt:lpstr>'form online nya'!Print_Area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2026-07-07T02:20:37Z</dcterms:created>
  <dcterms:modified xsi:type="dcterms:W3CDTF">2026-09-11T06:33:25Z</dcterms:modified>
</cp:coreProperties>
</file>